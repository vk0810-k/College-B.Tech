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D:\BTECH\SY\SEM III\SOFTWARE ENGINEERING - Chandravadan Prajapati\PRACTICALS\Metrics\fgd\"/>
    </mc:Choice>
  </mc:AlternateContent>
  <xr:revisionPtr revIDLastSave="0" documentId="13_ncr:1_{0C62B3CE-B546-46E7-9EE3-9F6DDDB1EB38}" xr6:coauthVersionLast="45" xr6:coauthVersionMax="45" xr10:uidLastSave="{00000000-0000-0000-0000-000000000000}"/>
  <workbookProtection lockStructure="1"/>
  <bookViews>
    <workbookView xWindow="-110" yWindow="-110" windowWidth="19420" windowHeight="10420" tabRatio="837" firstSheet="2" activeTab="2" xr2:uid="{00000000-000D-0000-FFFF-FFFF00000000}"/>
  </bookViews>
  <sheets>
    <sheet name="Project Info" sheetId="1" r:id="rId1"/>
    <sheet name="Effort and Schedule" sheetId="2" r:id="rId2"/>
    <sheet name="Defect Data" sheetId="4" r:id="rId3"/>
    <sheet name="Data Collection Guidelines" sheetId="11" r:id="rId4"/>
    <sheet name="Summary" sheetId="5" r:id="rId5"/>
    <sheet name="Graphs" sheetId="3" r:id="rId6"/>
    <sheet name="Causal Analysis" sheetId="6" r:id="rId7"/>
    <sheet name="Causal Analysis Guidelines" sheetId="12" r:id="rId8"/>
    <sheet name="Checklist to be filled by PL" sheetId="8" r:id="rId9"/>
  </sheets>
  <definedNames>
    <definedName name="_xlnm._FilterDatabase" localSheetId="3" hidden="1">'Data Collection Guidelines'!$A$9:$D$30</definedName>
    <definedName name="_xlnm.Print_Area" localSheetId="6">'Causal Analysis'!$A$1:$I$32</definedName>
    <definedName name="_xlnm.Print_Area" localSheetId="8">'Checklist to be filled by PL'!$B$2:$D$32</definedName>
    <definedName name="_xlnm.Print_Area" localSheetId="3">'Data Collection Guidelines'!$A$1:$D$31</definedName>
    <definedName name="_xlnm.Print_Area" localSheetId="2">'Defect Data'!$A$1:$O$61</definedName>
    <definedName name="_xlnm.Print_Area" localSheetId="1">'Effort and Schedule'!$A$1:$H$60</definedName>
    <definedName name="_xlnm.Print_Area" localSheetId="5">Graphs!$A$1:$R$114</definedName>
    <definedName name="_xlnm.Print_Area" localSheetId="0">'Project Info'!$A$2:$L$29</definedName>
    <definedName name="_xlnm.Print_Area" localSheetId="4">Summary!$A$1:$K$40</definedName>
    <definedName name="_xlnm.Print_Titles" localSheetId="7">'Causal Analysis Guidelines'!$5:$5</definedName>
    <definedName name="Z_99472ED2_59D2_11D7_A477_0010B5BCD3CB_.wvu.PrintArea" localSheetId="0" hidden="1">'Project Info'!$A$2:$H$28</definedName>
    <definedName name="Z_99472ED2_59D2_11D7_A477_0010B5BCD3CB_.wvu.PrintArea" localSheetId="4" hidden="1">Summary!$A$1:$I$40</definedName>
    <definedName name="Z_99472ED2_59D2_11D7_A477_0010B5BCD3CB_.wvu.Rows" localSheetId="2" hidden="1">'Defect Data'!#REF!</definedName>
    <definedName name="Z_D77630C3_E566_49F3_BD2C_D3992F8DF201_.wvu.PrintArea" localSheetId="6" hidden="1">'Causal Analysis'!$A$1:$H$32</definedName>
    <definedName name="Z_D77630C3_E566_49F3_BD2C_D3992F8DF201_.wvu.PrintArea" localSheetId="8" hidden="1">'Checklist to be filled by PL'!$B$2:$D$32</definedName>
    <definedName name="Z_D77630C3_E566_49F3_BD2C_D3992F8DF201_.wvu.PrintArea" localSheetId="2" hidden="1">'Defect Data'!$A$1:$P$61</definedName>
    <definedName name="Z_D77630C3_E566_49F3_BD2C_D3992F8DF201_.wvu.PrintArea" localSheetId="1" hidden="1">'Effort and Schedule'!$A$1:$H$58</definedName>
    <definedName name="Z_D77630C3_E566_49F3_BD2C_D3992F8DF201_.wvu.PrintArea" localSheetId="5" hidden="1">Graphs!$A$1:$R$114</definedName>
    <definedName name="Z_D77630C3_E566_49F3_BD2C_D3992F8DF201_.wvu.PrintArea" localSheetId="0" hidden="1">'Project Info'!$A$2:$L$29</definedName>
    <definedName name="Z_D77630C3_E566_49F3_BD2C_D3992F8DF201_.wvu.PrintArea" localSheetId="4" hidden="1">Summary!$A$1:$I$40</definedName>
  </definedNames>
  <calcPr calcId="191029"/>
  <customWorkbookViews>
    <customWorkbookView name="lntinfotech - Personal View" guid="{D77630C3-E566-49F3-BD2C-D3992F8DF201}" autoUpdate="1" mergeInterval="15" personalView="1" maximized="1" windowWidth="796" windowHeight="385" tabRatio="665" activeSheetId="1"/>
    <customWorkbookView name="user - Personal View" guid="{99472ED2-59D2-11D7-A477-0010B5BCD3CB}" mergeInterval="0" personalView="1" maximized="1" windowWidth="1020" windowHeight="606" tabRatio="878" activeSheetId="5"/>
  </customWorkbookViews>
</workbook>
</file>

<file path=xl/calcChain.xml><?xml version="1.0" encoding="utf-8"?>
<calcChain xmlns="http://schemas.openxmlformats.org/spreadsheetml/2006/main">
  <c r="H27" i="1" l="1"/>
  <c r="E7" i="12" l="1"/>
  <c r="F7" i="12"/>
  <c r="G7" i="12"/>
  <c r="H7" i="12"/>
  <c r="B4" i="4"/>
  <c r="J14" i="4" s="1"/>
  <c r="C4" i="4"/>
  <c r="K10" i="4" s="1"/>
  <c r="D4" i="4"/>
  <c r="L15" i="4" s="1"/>
  <c r="J4" i="4"/>
  <c r="H9" i="4"/>
  <c r="I9" i="4" s="1"/>
  <c r="H10" i="4"/>
  <c r="H11" i="4"/>
  <c r="H12" i="4"/>
  <c r="H13" i="4"/>
  <c r="H14" i="4"/>
  <c r="I14" i="4" s="1"/>
  <c r="H15" i="4"/>
  <c r="H16" i="4"/>
  <c r="H17" i="4"/>
  <c r="H18" i="4"/>
  <c r="M18" i="4"/>
  <c r="B19" i="4"/>
  <c r="B22" i="4" s="1"/>
  <c r="B40" i="5" s="1"/>
  <c r="C19" i="4"/>
  <c r="C22" i="4" s="1"/>
  <c r="C40" i="5" s="1"/>
  <c r="D19" i="4"/>
  <c r="D22" i="4" s="1"/>
  <c r="D40" i="5" s="1"/>
  <c r="E19" i="4"/>
  <c r="E22" i="4" s="1"/>
  <c r="E40" i="5" s="1"/>
  <c r="F19" i="4"/>
  <c r="F22" i="4" s="1"/>
  <c r="F40" i="5" s="1"/>
  <c r="G19" i="4"/>
  <c r="G22" i="4" s="1"/>
  <c r="G40" i="5" s="1"/>
  <c r="H20" i="4"/>
  <c r="F30" i="4"/>
  <c r="L30" i="4"/>
  <c r="L31" i="4" s="1"/>
  <c r="L32" i="4" s="1"/>
  <c r="L33" i="4" s="1"/>
  <c r="L34" i="4" s="1"/>
  <c r="L35" i="4" s="1"/>
  <c r="L36" i="4" s="1"/>
  <c r="F31" i="4"/>
  <c r="F32" i="4"/>
  <c r="F33" i="4"/>
  <c r="F34" i="4"/>
  <c r="F35" i="4"/>
  <c r="F36" i="4"/>
  <c r="B37" i="4"/>
  <c r="C37" i="4"/>
  <c r="D37" i="4"/>
  <c r="E37" i="4"/>
  <c r="M42" i="4"/>
  <c r="M43" i="4"/>
  <c r="M44" i="4"/>
  <c r="M45" i="4"/>
  <c r="B46" i="4"/>
  <c r="C46" i="4"/>
  <c r="D46" i="4"/>
  <c r="E46" i="4"/>
  <c r="F46" i="4"/>
  <c r="G46" i="4"/>
  <c r="H46" i="4"/>
  <c r="I46" i="4"/>
  <c r="J46" i="4"/>
  <c r="K46" i="4"/>
  <c r="L46" i="4"/>
  <c r="C51" i="4"/>
  <c r="C52" i="4" s="1"/>
  <c r="C53" i="4" s="1"/>
  <c r="C54" i="4" s="1"/>
  <c r="C55" i="4" s="1"/>
  <c r="C56" i="4" s="1"/>
  <c r="C57" i="4" s="1"/>
  <c r="C58" i="4" s="1"/>
  <c r="C59" i="4" s="1"/>
  <c r="C60" i="4" s="1"/>
  <c r="B4" i="2"/>
  <c r="C4" i="2"/>
  <c r="D4" i="2"/>
  <c r="E7" i="2"/>
  <c r="F7" i="2" s="1"/>
  <c r="E8" i="2"/>
  <c r="F8" i="2" s="1"/>
  <c r="E9" i="2"/>
  <c r="F9" i="2" s="1"/>
  <c r="E10" i="2"/>
  <c r="F10" i="2" s="1"/>
  <c r="E11" i="2"/>
  <c r="F11" i="2" s="1"/>
  <c r="E12" i="2"/>
  <c r="F12" i="2" s="1"/>
  <c r="E13" i="2"/>
  <c r="F13" i="2" s="1"/>
  <c r="E14" i="2"/>
  <c r="F14" i="2" s="1"/>
  <c r="E15" i="2"/>
  <c r="F15" i="2" s="1"/>
  <c r="E16" i="2"/>
  <c r="F16" i="2" s="1"/>
  <c r="E17" i="2"/>
  <c r="F17" i="2" s="1"/>
  <c r="E18" i="2"/>
  <c r="B19" i="2"/>
  <c r="B27" i="2" s="1"/>
  <c r="C19" i="2"/>
  <c r="D19" i="2"/>
  <c r="C27" i="2" s="1"/>
  <c r="H22" i="2" s="1"/>
  <c r="F25" i="2"/>
  <c r="H25" i="2"/>
  <c r="A32" i="2"/>
  <c r="A33" i="2"/>
  <c r="A34" i="2"/>
  <c r="A35" i="2"/>
  <c r="A36" i="2"/>
  <c r="A37" i="2"/>
  <c r="B41" i="2"/>
  <c r="C41" i="2"/>
  <c r="D41" i="2"/>
  <c r="D44" i="2"/>
  <c r="D45" i="2"/>
  <c r="D46" i="2"/>
  <c r="D47" i="2"/>
  <c r="D48" i="2"/>
  <c r="D49" i="2"/>
  <c r="D50" i="2"/>
  <c r="E50" i="2" s="1"/>
  <c r="D51" i="2"/>
  <c r="E51" i="2" s="1"/>
  <c r="D52" i="2"/>
  <c r="E52" i="2" s="1"/>
  <c r="D53" i="2"/>
  <c r="E53" i="2" s="1"/>
  <c r="D54" i="2"/>
  <c r="E54" i="2" s="1"/>
  <c r="D55" i="2"/>
  <c r="E55" i="2" s="1"/>
  <c r="D56" i="2"/>
  <c r="E56" i="2" s="1"/>
  <c r="D57" i="2"/>
  <c r="E57" i="2" s="1"/>
  <c r="D58" i="2"/>
  <c r="E58" i="2" s="1"/>
  <c r="D59" i="2"/>
  <c r="E59" i="2" s="1"/>
  <c r="D60" i="2"/>
  <c r="E60" i="2" s="1"/>
  <c r="C27" i="1"/>
  <c r="B6" i="5"/>
  <c r="D6" i="5"/>
  <c r="E6" i="5"/>
  <c r="F6" i="5"/>
  <c r="B9" i="5"/>
  <c r="B13" i="5"/>
  <c r="D13" i="5"/>
  <c r="E13" i="5"/>
  <c r="F13" i="5"/>
  <c r="B14" i="5"/>
  <c r="G14" i="5" s="1"/>
  <c r="D14" i="5"/>
  <c r="E14" i="5"/>
  <c r="F14" i="5"/>
  <c r="D21" i="5"/>
  <c r="L39" i="5" s="1"/>
  <c r="E21" i="5"/>
  <c r="F21" i="5"/>
  <c r="A22" i="5"/>
  <c r="B22" i="5"/>
  <c r="G22" i="5" s="1"/>
  <c r="A23" i="5"/>
  <c r="B23" i="5"/>
  <c r="G23" i="5" s="1"/>
  <c r="A24" i="5"/>
  <c r="B24" i="5"/>
  <c r="G24" i="5" s="1"/>
  <c r="D28" i="5"/>
  <c r="E28" i="5"/>
  <c r="F28" i="5"/>
  <c r="D29" i="5"/>
  <c r="E29" i="5"/>
  <c r="F29" i="5"/>
  <c r="D30" i="5"/>
  <c r="E30" i="5"/>
  <c r="F30" i="5"/>
  <c r="D31" i="5"/>
  <c r="E31" i="5"/>
  <c r="F31" i="5"/>
  <c r="B33" i="5"/>
  <c r="G33" i="5" s="1"/>
  <c r="B37" i="5"/>
  <c r="C37" i="5"/>
  <c r="D37" i="5"/>
  <c r="E37" i="5"/>
  <c r="F37" i="5"/>
  <c r="G37" i="5"/>
  <c r="H37" i="5"/>
  <c r="I37" i="5"/>
  <c r="J37" i="5"/>
  <c r="K37" i="5"/>
  <c r="B29" i="5" l="1"/>
  <c r="G29" i="5" s="1"/>
  <c r="B8" i="5"/>
  <c r="G8" i="5" s="1"/>
  <c r="H33" i="4"/>
  <c r="E46" i="2"/>
  <c r="E45" i="2"/>
  <c r="E44" i="2"/>
  <c r="E49" i="2"/>
  <c r="E48" i="2"/>
  <c r="E47" i="2"/>
  <c r="J48" i="4"/>
  <c r="H48" i="4"/>
  <c r="E48" i="4"/>
  <c r="F37" i="4"/>
  <c r="G35" i="4" s="1"/>
  <c r="H31" i="4"/>
  <c r="H34" i="4"/>
  <c r="H35" i="4"/>
  <c r="H36" i="4"/>
  <c r="I15" i="4"/>
  <c r="H24" i="2"/>
  <c r="H23" i="2"/>
  <c r="B21" i="5"/>
  <c r="G21" i="5" s="1"/>
  <c r="I10" i="4"/>
  <c r="H19" i="4"/>
  <c r="I19" i="4" s="1"/>
  <c r="E19" i="2"/>
  <c r="F19" i="2" s="1"/>
  <c r="G6" i="5"/>
  <c r="H32" i="4"/>
  <c r="F48" i="4"/>
  <c r="K48" i="4"/>
  <c r="C48" i="4"/>
  <c r="M46" i="4"/>
  <c r="C47" i="4" s="1"/>
  <c r="H30" i="4"/>
  <c r="G48" i="4"/>
  <c r="D48" i="4"/>
  <c r="K15" i="4"/>
  <c r="J19" i="4"/>
  <c r="G13" i="5"/>
  <c r="J15" i="4"/>
  <c r="J10" i="4"/>
  <c r="L19" i="4"/>
  <c r="J9" i="4"/>
  <c r="K19" i="4"/>
  <c r="B19" i="5"/>
  <c r="G19" i="5" s="1"/>
  <c r="F26" i="2"/>
  <c r="B18" i="5"/>
  <c r="G18" i="5" s="1"/>
  <c r="M14" i="4"/>
  <c r="B20" i="5"/>
  <c r="G20" i="5" s="1"/>
  <c r="I48" i="4"/>
  <c r="K9" i="4"/>
  <c r="L9" i="4"/>
  <c r="B48" i="4"/>
  <c r="L14" i="4"/>
  <c r="L10" i="4"/>
  <c r="K14" i="4"/>
  <c r="M15" i="4" l="1"/>
  <c r="B30" i="5"/>
  <c r="G30" i="5" s="1"/>
  <c r="G47" i="4"/>
  <c r="N44" i="4"/>
  <c r="B47" i="4"/>
  <c r="N43" i="4"/>
  <c r="N42" i="4"/>
  <c r="J47" i="4"/>
  <c r="F47" i="4"/>
  <c r="H47" i="4"/>
  <c r="K47" i="4"/>
  <c r="D47" i="4"/>
  <c r="N45" i="4"/>
  <c r="I47" i="4"/>
  <c r="E47" i="4"/>
  <c r="G32" i="4"/>
  <c r="G30" i="4"/>
  <c r="G36" i="4"/>
  <c r="G34" i="4"/>
  <c r="G31" i="4"/>
  <c r="G33" i="4"/>
  <c r="M9" i="4"/>
  <c r="M10" i="4"/>
  <c r="J38" i="5"/>
  <c r="I38" i="5"/>
  <c r="F21" i="4"/>
  <c r="F39" i="5" s="1"/>
  <c r="E38" i="5"/>
  <c r="C21" i="4"/>
  <c r="C39" i="5" s="1"/>
  <c r="D21" i="4"/>
  <c r="D39" i="5" s="1"/>
  <c r="F38" i="5"/>
  <c r="G21" i="4"/>
  <c r="G39" i="5" s="1"/>
  <c r="E21" i="4"/>
  <c r="E39" i="5" s="1"/>
  <c r="K38" i="5"/>
  <c r="C38" i="5"/>
  <c r="H38" i="5"/>
  <c r="G38" i="5"/>
  <c r="B38" i="5"/>
  <c r="B28" i="5"/>
  <c r="G28" i="5" s="1"/>
  <c r="D38" i="5"/>
  <c r="B31" i="5"/>
  <c r="G31" i="5" s="1"/>
  <c r="B21" i="4"/>
  <c r="B39" i="5" s="1"/>
  <c r="M1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Manish</author>
    <author>Neha</author>
    <author>Sudhir</author>
    <author>lntinfotech</author>
    <author>D26-738</author>
    <author>Administrator</author>
  </authors>
  <commentList>
    <comment ref="D5" authorId="0" shapeId="0" xr:uid="{00000000-0006-0000-0000-000001000000}">
      <text>
        <r>
          <rPr>
            <b/>
            <sz val="8"/>
            <color indexed="81"/>
            <rFont val="Tahoma"/>
            <family val="2"/>
          </rPr>
          <t>Date Format: DD/MM/YYYY</t>
        </r>
        <r>
          <rPr>
            <sz val="8"/>
            <color indexed="81"/>
            <rFont val="Tahoma"/>
            <family val="2"/>
          </rPr>
          <t xml:space="preserve">
</t>
        </r>
      </text>
    </comment>
    <comment ref="D6" authorId="0" shapeId="0" xr:uid="{00000000-0006-0000-0000-000002000000}">
      <text>
        <r>
          <rPr>
            <b/>
            <sz val="8"/>
            <color indexed="81"/>
            <rFont val="Tahoma"/>
            <family val="2"/>
          </rPr>
          <t>Date Format: DD/MM/YYYY</t>
        </r>
      </text>
    </comment>
    <comment ref="C7" authorId="0" shapeId="0" xr:uid="{00000000-0006-0000-0000-000003000000}">
      <text>
        <r>
          <rPr>
            <b/>
            <sz val="8"/>
            <color indexed="81"/>
            <rFont val="Tahoma"/>
            <family val="2"/>
          </rPr>
          <t>Date Format: DD/MM/YYYY</t>
        </r>
        <r>
          <rPr>
            <sz val="8"/>
            <color indexed="81"/>
            <rFont val="Tahoma"/>
            <family val="2"/>
          </rPr>
          <t xml:space="preserve">
</t>
        </r>
      </text>
    </comment>
    <comment ref="D8" authorId="1" shapeId="0" xr:uid="{00000000-0006-0000-0000-000004000000}">
      <text>
        <r>
          <rPr>
            <sz val="9"/>
            <color indexed="81"/>
            <rFont val="Tahoma"/>
            <family val="2"/>
          </rPr>
          <t>Take CSI from CSI sheet, which is a weighted index calculated based on customer feedback. CSI range: 2 to 5, where 2: Dissatisfied and 5: delighted</t>
        </r>
      </text>
    </comment>
    <comment ref="B12" authorId="2" shapeId="0" xr:uid="{00000000-0006-0000-0000-000005000000}">
      <text>
        <r>
          <rPr>
            <sz val="9"/>
            <color indexed="81"/>
            <rFont val="Tahoma"/>
            <family val="2"/>
          </rPr>
          <t>Win NT, WIN 95, 98
Unix, Solaris etc.</t>
        </r>
      </text>
    </comment>
    <comment ref="D12" authorId="3" shapeId="0" xr:uid="{00000000-0006-0000-0000-000006000000}">
      <text>
        <r>
          <rPr>
            <sz val="9"/>
            <color indexed="81"/>
            <rFont val="Tahoma"/>
            <family val="2"/>
          </rPr>
          <t>Large:  Efforts in person months &gt;45 and span months  &gt;3
Medium: Efforts in person months &gt;30 to 45 and span months  &gt;1 to 3
small:   Efforts in person months &gt;10  to 30 and span months  &lt; 1
very  small: Efforts in person months &gt;30 to 45 and span months  &lt; 1</t>
        </r>
      </text>
    </comment>
    <comment ref="B13" authorId="4" shapeId="0" xr:uid="{00000000-0006-0000-0000-000007000000}">
      <text>
        <r>
          <rPr>
            <sz val="9"/>
            <color indexed="81"/>
            <rFont val="Tahoma"/>
            <family val="2"/>
          </rPr>
          <t>Oracle, Access, DB2 etc.</t>
        </r>
      </text>
    </comment>
    <comment ref="D13" authorId="4" shapeId="0" xr:uid="{00000000-0006-0000-0000-000008000000}">
      <text>
        <r>
          <rPr>
            <sz val="9"/>
            <color indexed="81"/>
            <rFont val="Tahoma"/>
            <family val="2"/>
          </rPr>
          <t>Tools used for PDLC stages which can affect the time required for the stage. 
E.g. Rational Rose, Erwin, SOAD, testing tools, testbed (internally developed) etc.
Don't mention standard tools like MSOffice or standard internal tools like  ProMIS, PTR etc.</t>
        </r>
      </text>
    </comment>
    <comment ref="B14" authorId="1" shapeId="0" xr:uid="{00000000-0006-0000-0000-000009000000}">
      <text>
        <r>
          <rPr>
            <sz val="9"/>
            <color indexed="81"/>
            <rFont val="Tahoma"/>
            <family val="2"/>
          </rPr>
          <t>Finance, banking, manufacturing</t>
        </r>
      </text>
    </comment>
    <comment ref="D14" authorId="4" shapeId="0" xr:uid="{00000000-0006-0000-0000-00000A000000}">
      <text>
        <r>
          <rPr>
            <sz val="9"/>
            <color indexed="81"/>
            <rFont val="Tahoma"/>
            <family val="2"/>
          </rPr>
          <t>Mandatory field for Development projects. Possible types are 
Client server
Webbased
System software
Communications
Mainframe</t>
        </r>
      </text>
    </comment>
    <comment ref="B19" authorId="4" shapeId="0" xr:uid="{00000000-0006-0000-0000-00000B000000}">
      <text>
        <r>
          <rPr>
            <sz val="9"/>
            <color indexed="81"/>
            <rFont val="Tahoma"/>
            <family val="2"/>
          </rPr>
          <t>Budgetary Estimate value during the proposal stage</t>
        </r>
      </text>
    </comment>
    <comment ref="B20" authorId="4" shapeId="0" xr:uid="{00000000-0006-0000-0000-00000C000000}">
      <text>
        <r>
          <rPr>
            <sz val="9"/>
            <color indexed="81"/>
            <rFont val="Tahoma"/>
            <family val="2"/>
          </rPr>
          <t>Initial Estimate after Requirement specs document is baselined</t>
        </r>
      </text>
    </comment>
    <comment ref="B21" authorId="4" shapeId="0" xr:uid="{00000000-0006-0000-0000-00000D000000}">
      <text>
        <r>
          <rPr>
            <sz val="9"/>
            <color indexed="81"/>
            <rFont val="Tahoma"/>
            <family val="2"/>
          </rPr>
          <t>Estimated size in KLOC should be calculated by multiplying the initial estimate by conversion factor</t>
        </r>
      </text>
    </comment>
    <comment ref="C24" authorId="3" shapeId="0" xr:uid="{00000000-0006-0000-0000-00000E000000}">
      <text>
        <r>
          <rPr>
            <sz val="9"/>
            <color indexed="81"/>
            <rFont val="Tahoma"/>
            <family val="2"/>
          </rPr>
          <t>Put technoloy/technologies to be used in a project e.g. C, C++, VB, JAVA etc.</t>
        </r>
      </text>
    </comment>
    <comment ref="B25" authorId="5" shapeId="0" xr:uid="{00000000-0006-0000-0000-00000F000000}">
      <text>
        <r>
          <rPr>
            <sz val="9"/>
            <color indexed="81"/>
            <rFont val="Tahoma"/>
            <family val="2"/>
          </rPr>
          <t>Actual LOC of completed modules including reused code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sudhir</author>
    <author>Administrator</author>
    <author>usha</author>
    <author>ajay</author>
    <author>Manish</author>
  </authors>
  <commentList>
    <comment ref="B6" authorId="0" shapeId="0" xr:uid="{00000000-0006-0000-0100-000001000000}">
      <text>
        <r>
          <rPr>
            <sz val="9"/>
            <color indexed="81"/>
            <rFont val="Tahoma"/>
            <family val="2"/>
          </rPr>
          <t>Planned efforts including efforts on CRs (Person Days)</t>
        </r>
      </text>
    </comment>
    <comment ref="C6" authorId="0" shapeId="0" xr:uid="{00000000-0006-0000-0100-000002000000}">
      <text>
        <r>
          <rPr>
            <sz val="9"/>
            <color indexed="81"/>
            <rFont val="Tahoma"/>
            <family val="2"/>
          </rPr>
          <t>Planned efforts of completed activities including efforts on CRs (Person Days)</t>
        </r>
      </text>
    </comment>
    <comment ref="D6" authorId="0" shapeId="0" xr:uid="{00000000-0006-0000-0100-000003000000}">
      <text>
        <r>
          <rPr>
            <sz val="9"/>
            <color indexed="81"/>
            <rFont val="Tahoma"/>
            <family val="2"/>
          </rPr>
          <t>Actual efforts of completed activities including efforts on CRs (Person Days)</t>
        </r>
      </text>
    </comment>
    <comment ref="E6" authorId="1" shapeId="0" xr:uid="{00000000-0006-0000-0100-000004000000}">
      <text>
        <r>
          <rPr>
            <sz val="9"/>
            <color indexed="81"/>
            <rFont val="Tahoma"/>
            <family val="2"/>
          </rPr>
          <t>(Total Actual effort - Total Planned effort(initial) )/ Total planned effort (initial)*100</t>
        </r>
      </text>
    </comment>
    <comment ref="B21" authorId="2" shapeId="0" xr:uid="{00000000-0006-0000-0100-000005000000}">
      <text>
        <r>
          <rPr>
            <sz val="9"/>
            <color indexed="81"/>
            <rFont val="Tahoma"/>
            <family val="2"/>
          </rPr>
          <t>Unit of measurement
person Days</t>
        </r>
      </text>
    </comment>
    <comment ref="C21" authorId="2" shapeId="0" xr:uid="{00000000-0006-0000-0100-000006000000}">
      <text>
        <r>
          <rPr>
            <sz val="9"/>
            <color indexed="81"/>
            <rFont val="Tahoma"/>
            <family val="2"/>
          </rPr>
          <t>Unit of measurement
person Days</t>
        </r>
      </text>
    </comment>
    <comment ref="G22" authorId="1" shapeId="0" xr:uid="{00000000-0006-0000-0100-000007000000}">
      <text>
        <r>
          <rPr>
            <sz val="9"/>
            <color indexed="81"/>
            <rFont val="Tahoma"/>
            <family val="2"/>
          </rPr>
          <t>Prevention cost/ Total project efforts*100</t>
        </r>
      </text>
    </comment>
    <comment ref="G23" authorId="1" shapeId="0" xr:uid="{00000000-0006-0000-0100-000008000000}">
      <text>
        <r>
          <rPr>
            <sz val="9"/>
            <color indexed="81"/>
            <rFont val="Tahoma"/>
            <family val="2"/>
          </rPr>
          <t>Appraisal cost/ Total project efforts*100</t>
        </r>
      </text>
    </comment>
    <comment ref="G24" authorId="1" shapeId="0" xr:uid="{00000000-0006-0000-0100-000009000000}">
      <text>
        <r>
          <rPr>
            <sz val="9"/>
            <color indexed="81"/>
            <rFont val="Tahoma"/>
            <family val="2"/>
          </rPr>
          <t>Failure cost/ total project efforts*100</t>
        </r>
      </text>
    </comment>
    <comment ref="G25" authorId="1" shapeId="0" xr:uid="{00000000-0006-0000-0100-00000A000000}">
      <text>
        <r>
          <rPr>
            <sz val="9"/>
            <color indexed="81"/>
            <rFont val="Tahoma"/>
            <family val="2"/>
          </rPr>
          <t>Failure cost/ Appraisal cost *100</t>
        </r>
      </text>
    </comment>
    <comment ref="E26" authorId="1" shapeId="0" xr:uid="{00000000-0006-0000-0100-00000B000000}">
      <text>
        <r>
          <rPr>
            <sz val="9"/>
            <color indexed="81"/>
            <rFont val="Tahoma"/>
            <family val="2"/>
          </rPr>
          <t>(Prevention Cost + Appraisal Cost + Failure Cost)/ Total efforts in projects*100</t>
        </r>
      </text>
    </comment>
    <comment ref="A30" authorId="1" shapeId="0" xr:uid="{00000000-0006-0000-0100-00000C000000}">
      <text>
        <r>
          <rPr>
            <sz val="9"/>
            <color indexed="81"/>
            <rFont val="Tahoma"/>
            <family val="2"/>
          </rPr>
          <t>To be entered at the end of the project</t>
        </r>
      </text>
    </comment>
    <comment ref="B31" authorId="2" shapeId="0" xr:uid="{00000000-0006-0000-0100-00000D000000}">
      <text>
        <r>
          <rPr>
            <sz val="9"/>
            <color indexed="81"/>
            <rFont val="Tahoma"/>
            <family val="2"/>
          </rPr>
          <t>Unit of measurement
person Days</t>
        </r>
      </text>
    </comment>
    <comment ref="A43" authorId="3" shapeId="0" xr:uid="{00000000-0006-0000-0100-00000E000000}">
      <text>
        <r>
          <rPr>
            <sz val="9"/>
            <color indexed="81"/>
            <rFont val="Tahoma"/>
            <family val="2"/>
          </rPr>
          <t xml:space="preserve">For e.g.
Requirements
HLD
DLD
PS
Coding
Test Case
Unit Testing
Integration Testing
System Testing etc
</t>
        </r>
      </text>
    </comment>
    <comment ref="B43" authorId="4" shapeId="0" xr:uid="{00000000-0006-0000-0100-00000F000000}">
      <text>
        <r>
          <rPr>
            <b/>
            <sz val="8"/>
            <color indexed="81"/>
            <rFont val="Tahoma"/>
            <family val="2"/>
          </rPr>
          <t>Date Format: DD/MM/YYYY</t>
        </r>
      </text>
    </comment>
    <comment ref="C43" authorId="4" shapeId="0" xr:uid="{00000000-0006-0000-0100-000010000000}">
      <text>
        <r>
          <rPr>
            <b/>
            <sz val="8"/>
            <color indexed="81"/>
            <rFont val="Tahoma"/>
            <family val="2"/>
          </rPr>
          <t>Date Format: DD/MM/YYYY</t>
        </r>
        <r>
          <rPr>
            <sz val="8"/>
            <color indexed="81"/>
            <rFont val="Tahoma"/>
            <family val="2"/>
          </rPr>
          <t xml:space="preserve">
</t>
        </r>
      </text>
    </comment>
    <comment ref="D43" authorId="1" shapeId="0" xr:uid="{00000000-0006-0000-0100-000011000000}">
      <text>
        <r>
          <rPr>
            <sz val="9"/>
            <color indexed="81"/>
            <rFont val="Tahoma"/>
            <family val="2"/>
          </rPr>
          <t>Difference between planned and actual end date of milestone /(planned end date of the milestone - start date of the project)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Reshma Joshi</author>
    <author>ajay</author>
    <author>Saurabh Patil</author>
    <author>D26-738</author>
    <author>Sudhir</author>
    <author>lntinfotech</author>
    <author>Administrator</author>
  </authors>
  <commentList>
    <comment ref="B2" authorId="0" shapeId="0" xr:uid="{00000000-0006-0000-0200-000001000000}">
      <text>
        <r>
          <rPr>
            <sz val="9"/>
            <color indexed="81"/>
            <rFont val="Tahoma"/>
            <family val="2"/>
          </rPr>
          <t>Defect goal for complete PDLC</t>
        </r>
      </text>
    </comment>
    <comment ref="A6" authorId="1" shapeId="0" xr:uid="{00000000-0006-0000-0200-000002000000}">
      <text>
        <r>
          <rPr>
            <sz val="9"/>
            <color indexed="81"/>
            <rFont val="Tahoma"/>
            <family val="2"/>
          </rPr>
          <t xml:space="preserve">Defects leaked from the stage to further PDLC stages, Defects introduced in that stage. 
Excluding "SG" Suggestions
</t>
        </r>
      </text>
    </comment>
    <comment ref="I6" authorId="1" shapeId="0" xr:uid="{00000000-0006-0000-0200-000003000000}">
      <text>
        <r>
          <rPr>
            <sz val="9"/>
            <color indexed="81"/>
            <rFont val="Tahoma"/>
            <family val="2"/>
          </rPr>
          <t xml:space="preserve">Excluding "SG" Suggestions
</t>
        </r>
      </text>
    </comment>
    <comment ref="J8" authorId="2" shapeId="0" xr:uid="{00000000-0006-0000-0200-000004000000}">
      <text>
        <r>
          <rPr>
            <sz val="9"/>
            <color indexed="81"/>
            <rFont val="Tahoma"/>
            <family val="2"/>
          </rPr>
          <t>Defect goal for the phase</t>
        </r>
      </text>
    </comment>
    <comment ref="K8" authorId="3" shapeId="0" xr:uid="{00000000-0006-0000-0200-000005000000}">
      <text>
        <r>
          <rPr>
            <sz val="9"/>
            <color indexed="81"/>
            <rFont val="Tahoma"/>
            <family val="2"/>
          </rPr>
          <t>Defect LCL for the phase</t>
        </r>
      </text>
    </comment>
    <comment ref="L8" authorId="3" shapeId="0" xr:uid="{00000000-0006-0000-0200-000006000000}">
      <text>
        <r>
          <rPr>
            <sz val="9"/>
            <color indexed="81"/>
            <rFont val="Tahoma"/>
            <family val="2"/>
          </rPr>
          <t>Defect UCL for the phase</t>
        </r>
      </text>
    </comment>
    <comment ref="H19" authorId="4" shapeId="0" xr:uid="{00000000-0006-0000-0200-000007000000}">
      <text>
        <r>
          <rPr>
            <b/>
            <sz val="8"/>
            <color indexed="81"/>
            <rFont val="Tahoma"/>
            <family val="2"/>
          </rPr>
          <t xml:space="preserve">Highlighted:
</t>
        </r>
        <r>
          <rPr>
            <sz val="8"/>
            <color indexed="81"/>
            <rFont val="Tahoma"/>
            <family val="2"/>
          </rPr>
          <t>Total Defect count (H19+H20) must equal to value in cells F37 and M46</t>
        </r>
      </text>
    </comment>
    <comment ref="A20" authorId="5" shapeId="0" xr:uid="{00000000-0006-0000-0200-000008000000}">
      <text>
        <r>
          <rPr>
            <sz val="9"/>
            <color indexed="81"/>
            <rFont val="Tahoma"/>
            <family val="2"/>
          </rPr>
          <t xml:space="preserve">Defects identified in warranty period/ after final delivery
</t>
        </r>
      </text>
    </comment>
    <comment ref="A21" authorId="6" shapeId="0" xr:uid="{00000000-0006-0000-0200-000009000000}">
      <text>
        <r>
          <rPr>
            <sz val="9"/>
            <color indexed="81"/>
            <rFont val="Tahoma"/>
            <family val="2"/>
          </rPr>
          <t>%  defects injected in phase</t>
        </r>
      </text>
    </comment>
    <comment ref="A22" authorId="5" shapeId="0" xr:uid="{00000000-0006-0000-0200-00000A000000}">
      <text>
        <r>
          <rPr>
            <sz val="9"/>
            <color indexed="81"/>
            <rFont val="Tahoma"/>
            <family val="2"/>
          </rPr>
          <t xml:space="preserve">(Total defects injected in that stage - Defects injected and detected in the stage)/ Defects injected in that stage*100
</t>
        </r>
      </text>
    </comment>
    <comment ref="A29" authorId="4" shapeId="0" xr:uid="{00000000-0006-0000-0200-00000B000000}">
      <text>
        <r>
          <rPr>
            <sz val="9"/>
            <color indexed="81"/>
            <rFont val="Tahoma"/>
            <family val="2"/>
          </rPr>
          <t>CO: Communication Gap
OV: Oversight
UN: Understanding Error
EX: External Factor
IK: Inadequate knowledge / experience
IS: Inadequate technical skills
NA: Not applicable</t>
        </r>
      </text>
    </comment>
    <comment ref="H29" authorId="5" shapeId="0" xr:uid="{00000000-0006-0000-0200-00000C000000}">
      <text>
        <r>
          <rPr>
            <sz val="9"/>
            <color indexed="81"/>
            <rFont val="Tahoma"/>
            <family val="2"/>
          </rPr>
          <t>Impact of defects for each cause (weighted sum based on severity of defects)</t>
        </r>
      </text>
    </comment>
    <comment ref="K29" authorId="5" shapeId="0" xr:uid="{00000000-0006-0000-0200-00000D000000}">
      <text>
        <r>
          <rPr>
            <sz val="9"/>
            <color indexed="81"/>
            <rFont val="Tahoma"/>
            <family val="2"/>
          </rPr>
          <t>Impact of defects for each cause (weighted sum based on severity of defects)</t>
        </r>
      </text>
    </comment>
    <comment ref="F37" authorId="4" shapeId="0" xr:uid="{00000000-0006-0000-0200-00000E000000}">
      <text>
        <r>
          <rPr>
            <b/>
            <sz val="8"/>
            <color indexed="81"/>
            <rFont val="Tahoma"/>
            <family val="2"/>
          </rPr>
          <t xml:space="preserve">Highlighted:
</t>
        </r>
        <r>
          <rPr>
            <sz val="8"/>
            <color indexed="81"/>
            <rFont val="Tahoma"/>
            <family val="2"/>
          </rPr>
          <t>As Defect count must equal to value in cells F37 and M46</t>
        </r>
      </text>
    </comment>
    <comment ref="B40" authorId="4" shapeId="0" xr:uid="{00000000-0006-0000-0200-00000F000000}">
      <text>
        <r>
          <rPr>
            <sz val="9"/>
            <color indexed="81"/>
            <rFont val="Tahoma"/>
            <family val="2"/>
          </rPr>
          <t>DA= Data
IF= Interface
LO= Program Logic
OP= Optimization/Performance
ST= Standards
US= Usability Errors
NR= Not Relevant/Error in supporting documents/Redundant
CP= Cosmetic Presentation
SG= Suggestion.
MS= Missing
CL= Clarity</t>
        </r>
      </text>
    </comment>
    <comment ref="A48" authorId="5" shapeId="0" xr:uid="{00000000-0006-0000-0200-000010000000}">
      <text>
        <r>
          <rPr>
            <sz val="9"/>
            <color indexed="81"/>
            <rFont val="Tahoma"/>
            <family val="2"/>
          </rPr>
          <t xml:space="preserve">Impact of defects for each category (weighted sum based on severity of defects)
</t>
        </r>
      </text>
    </comment>
    <comment ref="A50" authorId="4" shapeId="0" xr:uid="{00000000-0006-0000-0200-000011000000}">
      <text>
        <r>
          <rPr>
            <sz val="9"/>
            <color indexed="81"/>
            <rFont val="Tahoma"/>
            <family val="2"/>
          </rPr>
          <t xml:space="preserve">DA= Data
IF= Interface
LO= Program Logic
OP= Optimization/Performance
ST= Standards
US= Usability Errors
NR= Not Relevant/Error in supporting documents/Redundant
CP= Cosmetic Presentation
SG= Suggestion.
MS= Missing
CL= Clarity
</t>
        </r>
      </text>
    </comment>
    <comment ref="B50" authorId="5" shapeId="0" xr:uid="{00000000-0006-0000-0200-000012000000}">
      <text>
        <r>
          <rPr>
            <sz val="9"/>
            <color indexed="81"/>
            <rFont val="Tahoma"/>
            <family val="2"/>
          </rPr>
          <t xml:space="preserve">Impact of defects for each category (weighted sum based on severity of defects)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ajay</author>
  </authors>
  <commentList>
    <comment ref="C25" authorId="0" shapeId="0" xr:uid="{00000000-0006-0000-0300-000001000000}">
      <text>
        <r>
          <rPr>
            <sz val="8"/>
            <color indexed="81"/>
            <rFont val="Tahoma"/>
            <family val="2"/>
          </rPr>
          <t>Need to find out whether post delivery defects can be logged in DTS</t>
        </r>
        <r>
          <rPr>
            <b/>
            <sz val="8"/>
            <color indexed="81"/>
            <rFont val="Tahoma"/>
            <family val="2"/>
          </rPr>
          <t xml:space="preserve">
</t>
        </r>
        <r>
          <rPr>
            <b/>
            <sz val="8"/>
            <color indexed="14"/>
            <rFont val="Tahoma"/>
            <family val="2"/>
          </rPr>
          <t>Need to be mentioned in some process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sudhir</author>
    <author>ajay</author>
    <author>lntinfotech</author>
  </authors>
  <commentList>
    <comment ref="A6" authorId="0" shapeId="0" xr:uid="{00000000-0006-0000-0400-000001000000}">
      <text>
        <r>
          <rPr>
            <sz val="9"/>
            <color indexed="81"/>
            <rFont val="Tahoma"/>
            <family val="2"/>
          </rPr>
          <t>Estimation done at the end of project - Initial estimate/Initial estimate *100</t>
        </r>
      </text>
    </comment>
    <comment ref="A8" authorId="0" shapeId="0" xr:uid="{00000000-0006-0000-0400-000002000000}">
      <text>
        <r>
          <rPr>
            <sz val="9"/>
            <color indexed="81"/>
            <rFont val="Tahoma"/>
            <family val="2"/>
          </rPr>
          <t>(1-(Actual efforts on Changes / total actual efforts))*100</t>
        </r>
      </text>
    </comment>
    <comment ref="A9" authorId="1" shapeId="0" xr:uid="{00000000-0006-0000-0400-000003000000}">
      <text>
        <r>
          <rPr>
            <sz val="9"/>
            <color indexed="81"/>
            <rFont val="Tahoma"/>
            <family val="2"/>
          </rPr>
          <t>Size of reused code/ Total size of project * 100</t>
        </r>
      </text>
    </comment>
    <comment ref="A13" authorId="0" shapeId="0" xr:uid="{00000000-0006-0000-0400-000004000000}">
      <text>
        <r>
          <rPr>
            <sz val="9"/>
            <color indexed="81"/>
            <rFont val="Tahoma"/>
            <family val="2"/>
          </rPr>
          <t>Difference between proposed and actual end date  /(proposed end date - start date of the project) *100</t>
        </r>
      </text>
    </comment>
    <comment ref="A14" authorId="0" shapeId="0" xr:uid="{00000000-0006-0000-0400-000005000000}">
      <text>
        <r>
          <rPr>
            <sz val="9"/>
            <color indexed="81"/>
            <rFont val="Tahoma"/>
            <family val="2"/>
          </rPr>
          <t>Difference between actual and revised end date /(Revised end date - start date of the project) *100</t>
        </r>
      </text>
    </comment>
    <comment ref="A18" authorId="0" shapeId="0" xr:uid="{00000000-0006-0000-0400-000006000000}">
      <text>
        <r>
          <rPr>
            <sz val="9"/>
            <color indexed="81"/>
            <rFont val="Tahoma"/>
            <family val="2"/>
          </rPr>
          <t>(Total Actual effort - Total Planned effort(initial) )/ Total planned effort (initial)*100</t>
        </r>
      </text>
    </comment>
    <comment ref="A19" authorId="0" shapeId="0" xr:uid="{00000000-0006-0000-0400-000007000000}">
      <text>
        <r>
          <rPr>
            <sz val="9"/>
            <color indexed="81"/>
            <rFont val="Tahoma"/>
            <family val="2"/>
          </rPr>
          <t>(Total Actual effort - Budgetary effort ))/Budgetary effort *100</t>
        </r>
      </text>
    </comment>
    <comment ref="A20" authorId="0" shapeId="0" xr:uid="{00000000-0006-0000-0400-000008000000}">
      <text>
        <r>
          <rPr>
            <sz val="9"/>
            <color indexed="81"/>
            <rFont val="Tahoma"/>
            <family val="2"/>
          </rPr>
          <t>Actual project management effort / Actual PDLC efforts*100</t>
        </r>
      </text>
    </comment>
    <comment ref="A21" authorId="0" shapeId="0" xr:uid="{00000000-0006-0000-0400-000009000000}">
      <text>
        <r>
          <rPr>
            <sz val="9"/>
            <color indexed="81"/>
            <rFont val="Tahoma"/>
            <family val="2"/>
          </rPr>
          <t>Actual size/Actual development efforts for PDLC</t>
        </r>
      </text>
    </comment>
    <comment ref="A22" authorId="0" shapeId="0" xr:uid="{00000000-0006-0000-0400-00000A000000}">
      <text>
        <r>
          <rPr>
            <sz val="9"/>
            <color indexed="81"/>
            <rFont val="Tahoma"/>
            <family val="2"/>
          </rPr>
          <t>Actual size/Actual efforts for coding and UT</t>
        </r>
      </text>
    </comment>
    <comment ref="A23" authorId="0" shapeId="0" xr:uid="{00000000-0006-0000-0400-00000B000000}">
      <text>
        <r>
          <rPr>
            <sz val="9"/>
            <color indexed="81"/>
            <rFont val="Tahoma"/>
            <family val="2"/>
          </rPr>
          <t>Actual size/Actual efforts for coding and UT</t>
        </r>
      </text>
    </comment>
    <comment ref="A24" authorId="0" shapeId="0" xr:uid="{00000000-0006-0000-0400-00000C000000}">
      <text>
        <r>
          <rPr>
            <sz val="9"/>
            <color indexed="81"/>
            <rFont val="Tahoma"/>
            <family val="2"/>
          </rPr>
          <t>Actual size/Actual efforts for coding and UT</t>
        </r>
      </text>
    </comment>
    <comment ref="A28" authorId="2" shapeId="0" xr:uid="{00000000-0006-0000-0400-00000D000000}">
      <text>
        <r>
          <rPr>
            <sz val="9"/>
            <color indexed="81"/>
            <rFont val="Tahoma"/>
            <family val="2"/>
          </rPr>
          <t xml:space="preserve">No. of defects (excluding SG) detected in all PDLC phases/actual size </t>
        </r>
      </text>
    </comment>
    <comment ref="A29" authorId="0" shapeId="0" xr:uid="{00000000-0006-0000-0400-00000E000000}">
      <text>
        <r>
          <rPr>
            <sz val="9"/>
            <color indexed="81"/>
            <rFont val="Tahoma"/>
            <family val="2"/>
          </rPr>
          <t>No of defects found after delivery/Total size of project in KLOC</t>
        </r>
      </text>
    </comment>
    <comment ref="A30" authorId="0" shapeId="0" xr:uid="{00000000-0006-0000-0400-00000F000000}">
      <text>
        <r>
          <rPr>
            <sz val="9"/>
            <color indexed="81"/>
            <rFont val="Tahoma"/>
            <family val="2"/>
          </rPr>
          <t>No of defects found prior to delivery /(total no of defects detected in review and testing + post-delivery defects)*100</t>
        </r>
      </text>
    </comment>
    <comment ref="A31" authorId="0" shapeId="0" xr:uid="{00000000-0006-0000-0400-000010000000}">
      <text>
        <r>
          <rPr>
            <b/>
            <sz val="8"/>
            <color indexed="81"/>
            <rFont val="Tahoma"/>
            <family val="2"/>
          </rPr>
          <t xml:space="preserve"> </t>
        </r>
        <r>
          <rPr>
            <sz val="9"/>
            <color indexed="81"/>
            <rFont val="Tahoma"/>
            <family val="2"/>
          </rPr>
          <t>The total No. of defects found in all the reviews/ (Total No. defects found in complete lifecycle + post delivery) *100</t>
        </r>
      </text>
    </comment>
    <comment ref="A33" authorId="0" shapeId="0" xr:uid="{00000000-0006-0000-0400-000011000000}">
      <text>
        <r>
          <rPr>
            <sz val="9"/>
            <color indexed="81"/>
            <rFont val="Tahoma"/>
            <family val="2"/>
          </rPr>
          <t>Total no of test cases / KLOC developed</t>
        </r>
      </text>
    </comment>
    <comment ref="A37" authorId="3" shapeId="0" xr:uid="{00000000-0006-0000-0400-000012000000}">
      <text>
        <r>
          <rPr>
            <sz val="9"/>
            <color indexed="81"/>
            <rFont val="Tahoma"/>
            <family val="2"/>
          </rPr>
          <t>Actual efforts for the  phase /total effors for whole PDLC * 100</t>
        </r>
      </text>
    </comment>
    <comment ref="A38" authorId="0" shapeId="0" xr:uid="{00000000-0006-0000-0400-000013000000}">
      <text>
        <r>
          <rPr>
            <sz val="9"/>
            <color indexed="81"/>
            <rFont val="Tahoma"/>
            <family val="2"/>
          </rPr>
          <t>No of defects detected at that stage /Total no. of defects found during the lifecycle</t>
        </r>
      </text>
    </comment>
    <comment ref="A39" authorId="0" shapeId="0" xr:uid="{00000000-0006-0000-0400-000014000000}">
      <text>
        <r>
          <rPr>
            <sz val="9"/>
            <color indexed="81"/>
            <rFont val="Tahoma"/>
            <family val="2"/>
          </rPr>
          <t>No of defects injected at that stage /Total no. of defects found during the lifecycle.</t>
        </r>
      </text>
    </comment>
    <comment ref="A40" authorId="0" shapeId="0" xr:uid="{00000000-0006-0000-0400-000015000000}">
      <text>
        <r>
          <rPr>
            <sz val="9"/>
            <color indexed="81"/>
            <rFont val="Tahoma"/>
            <family val="2"/>
          </rPr>
          <t>(Total defects injected in that stage - Defects injected and detected in the stage)/ Defects injected in that stage*100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ajay</author>
    <author>lntinfotech</author>
    <author>Manish</author>
  </authors>
  <commentList>
    <comment ref="F2" authorId="0" shapeId="0" xr:uid="{00000000-0006-0000-0600-000001000000}">
      <text>
        <r>
          <rPr>
            <sz val="9"/>
            <color indexed="81"/>
            <rFont val="Tahoma"/>
            <family val="2"/>
          </rPr>
          <t xml:space="preserve">The Causes referring to any one of them
Effort
Schedule
Defect
</t>
        </r>
      </text>
    </comment>
    <comment ref="I2" authorId="1" shapeId="0" xr:uid="{00000000-0006-0000-0600-000002000000}">
      <text>
        <r>
          <rPr>
            <sz val="9"/>
            <color indexed="81"/>
            <rFont val="Tahoma"/>
            <family val="2"/>
          </rPr>
          <t xml:space="preserve">Open
Closed
On Hold
</t>
        </r>
      </text>
    </comment>
    <comment ref="A3" authorId="2" shapeId="0" xr:uid="{00000000-0006-0000-0600-000003000000}">
      <text>
        <r>
          <rPr>
            <b/>
            <sz val="8"/>
            <color indexed="81"/>
            <rFont val="Tahoma"/>
            <family val="2"/>
          </rPr>
          <t>Date Format: DD/MM/YYYY</t>
        </r>
        <r>
          <rPr>
            <sz val="8"/>
            <color indexed="81"/>
            <rFont val="Tahoma"/>
            <family val="2"/>
          </rPr>
          <t xml:space="preserve">
</t>
        </r>
      </text>
    </comment>
    <comment ref="H3" authorId="2" shapeId="0" xr:uid="{00000000-0006-0000-0600-000004000000}">
      <text>
        <r>
          <rPr>
            <b/>
            <sz val="8"/>
            <color indexed="81"/>
            <rFont val="Tahoma"/>
            <family val="2"/>
          </rPr>
          <t>Date Format: DD/MM/YYYY</t>
        </r>
        <r>
          <rPr>
            <sz val="8"/>
            <color indexed="81"/>
            <rFont val="Tahoma"/>
            <family val="2"/>
          </rPr>
          <t xml:space="preserve">
</t>
        </r>
      </text>
    </comment>
    <comment ref="J3" authorId="2" shapeId="0" xr:uid="{00000000-0006-0000-0600-000005000000}">
      <text>
        <r>
          <rPr>
            <b/>
            <sz val="8"/>
            <color indexed="81"/>
            <rFont val="Tahoma"/>
            <family val="2"/>
          </rPr>
          <t>Date Format: DD/MM/YYYY</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lntinfotech</author>
  </authors>
  <commentList>
    <comment ref="E5" authorId="0" shapeId="0" xr:uid="{00000000-0006-0000-0700-000001000000}">
      <text>
        <r>
          <rPr>
            <sz val="9"/>
            <color indexed="81"/>
            <rFont val="Tahoma"/>
            <family val="2"/>
          </rPr>
          <t>H- High
L-Low</t>
        </r>
        <r>
          <rPr>
            <sz val="8"/>
            <color indexed="81"/>
            <rFont val="Tahoma"/>
            <family val="2"/>
          </rPr>
          <t xml:space="preserve">
</t>
        </r>
      </text>
    </comment>
    <comment ref="F5" authorId="0" shapeId="0" xr:uid="{00000000-0006-0000-0700-000002000000}">
      <text>
        <r>
          <rPr>
            <sz val="9"/>
            <color indexed="81"/>
            <rFont val="Tahoma"/>
            <family val="2"/>
          </rPr>
          <t>H- High
L-Low</t>
        </r>
        <r>
          <rPr>
            <sz val="8"/>
            <color indexed="81"/>
            <rFont val="Tahoma"/>
            <family val="2"/>
          </rPr>
          <t xml:space="preserve">
</t>
        </r>
      </text>
    </comment>
    <comment ref="G5" authorId="0" shapeId="0" xr:uid="{00000000-0006-0000-0700-000003000000}">
      <text>
        <r>
          <rPr>
            <sz val="9"/>
            <color indexed="81"/>
            <rFont val="Tahoma"/>
            <family val="2"/>
          </rPr>
          <t>H- High
L-Low</t>
        </r>
        <r>
          <rPr>
            <sz val="8"/>
            <color indexed="81"/>
            <rFont val="Tahoma"/>
            <family val="2"/>
          </rPr>
          <t xml:space="preserve">
</t>
        </r>
      </text>
    </comment>
    <comment ref="H5" authorId="0" shapeId="0" xr:uid="{00000000-0006-0000-0700-000004000000}">
      <text>
        <r>
          <rPr>
            <sz val="9"/>
            <color indexed="81"/>
            <rFont val="Tahoma"/>
            <family val="2"/>
          </rPr>
          <t>H- High
L-Low</t>
        </r>
        <r>
          <rPr>
            <sz val="8"/>
            <color indexed="81"/>
            <rFont val="Tahoma"/>
            <family val="2"/>
          </rPr>
          <t xml:space="preserve">
</t>
        </r>
      </text>
    </comment>
  </commentList>
</comments>
</file>

<file path=xl/sharedStrings.xml><?xml version="1.0" encoding="utf-8"?>
<sst xmlns="http://schemas.openxmlformats.org/spreadsheetml/2006/main" count="651" uniqueCount="413">
  <si>
    <t>Project Name</t>
  </si>
  <si>
    <t>Coding</t>
  </si>
  <si>
    <t>Total</t>
  </si>
  <si>
    <t>Project Management</t>
  </si>
  <si>
    <t>Type of project</t>
  </si>
  <si>
    <t>Billing Type</t>
  </si>
  <si>
    <t>Location</t>
  </si>
  <si>
    <t>Tools used</t>
  </si>
  <si>
    <t>Project ID</t>
  </si>
  <si>
    <t>Total development efforts</t>
  </si>
  <si>
    <t>Quality assurance</t>
  </si>
  <si>
    <t>SCM</t>
  </si>
  <si>
    <t>LCL</t>
  </si>
  <si>
    <t>Last Revised Project End Date</t>
  </si>
  <si>
    <t>Validated by (SQA)</t>
  </si>
  <si>
    <t>Actual project end date</t>
  </si>
  <si>
    <t>Project Goals</t>
  </si>
  <si>
    <t>Parameter</t>
  </si>
  <si>
    <t>Schedule Variance (%)</t>
  </si>
  <si>
    <t>Size Variance (%)</t>
  </si>
  <si>
    <t>Defect Density (Defects/KLOC)</t>
  </si>
  <si>
    <t>Residual Defect Density (Defects/KLOC)</t>
  </si>
  <si>
    <t>UCL</t>
  </si>
  <si>
    <t>Result</t>
  </si>
  <si>
    <t xml:space="preserve">Efforts </t>
  </si>
  <si>
    <t>Schedule</t>
  </si>
  <si>
    <t xml:space="preserve">LCL </t>
  </si>
  <si>
    <t>%</t>
  </si>
  <si>
    <t>Actual</t>
  </si>
  <si>
    <t>Goal</t>
  </si>
  <si>
    <t>Post delivery Defects</t>
  </si>
  <si>
    <t>Process the post delivery parameters (Y/N)</t>
  </si>
  <si>
    <t>Size</t>
  </si>
  <si>
    <t>Initial</t>
  </si>
  <si>
    <t>Current stage</t>
  </si>
  <si>
    <t>QL Name</t>
  </si>
  <si>
    <t>Unit</t>
  </si>
  <si>
    <t>Planned Efforts for phase</t>
  </si>
  <si>
    <t>Cause</t>
  </si>
  <si>
    <t>LOC/day</t>
  </si>
  <si>
    <t>Productivity for PDLC</t>
  </si>
  <si>
    <t>% efforts for project management</t>
  </si>
  <si>
    <t>Requirement stability index</t>
  </si>
  <si>
    <t>Platform</t>
  </si>
  <si>
    <t>Backend/ Database</t>
  </si>
  <si>
    <t>Size category</t>
  </si>
  <si>
    <t>Remark</t>
  </si>
  <si>
    <t>Actual efforts as on date</t>
  </si>
  <si>
    <t>Total Planned Efforts</t>
  </si>
  <si>
    <t>Total efforts Variance for the project</t>
  </si>
  <si>
    <t>Category</t>
  </si>
  <si>
    <t>DA</t>
  </si>
  <si>
    <t>IF</t>
  </si>
  <si>
    <t>LO</t>
  </si>
  <si>
    <t>OP</t>
  </si>
  <si>
    <t>ST</t>
  </si>
  <si>
    <t>US</t>
  </si>
  <si>
    <t>NR</t>
  </si>
  <si>
    <t>SG</t>
  </si>
  <si>
    <t>Defect category and severity</t>
  </si>
  <si>
    <t>% Distribution</t>
  </si>
  <si>
    <t xml:space="preserve"> </t>
  </si>
  <si>
    <t xml:space="preserve">Date </t>
  </si>
  <si>
    <t>Proposed Project End Date</t>
  </si>
  <si>
    <t>Efforts parameters</t>
  </si>
  <si>
    <t>Defect Goal</t>
  </si>
  <si>
    <t>Severity level 1</t>
  </si>
  <si>
    <t>Severity level 2</t>
  </si>
  <si>
    <t>Severity level 3</t>
  </si>
  <si>
    <t>Severity level 4</t>
  </si>
  <si>
    <t>Nos</t>
  </si>
  <si>
    <t>Total No. of Test Cases Prepared</t>
  </si>
  <si>
    <t>Checklist</t>
  </si>
  <si>
    <t>Further question</t>
  </si>
  <si>
    <t>Y/N/NA</t>
  </si>
  <si>
    <t xml:space="preserve">Is the requirement analysis done by the project team? </t>
  </si>
  <si>
    <t>If Yes</t>
  </si>
  <si>
    <t>Are the efforts logged for the same? Are they available in MAP?</t>
  </si>
  <si>
    <t>If No</t>
  </si>
  <si>
    <t>Is the requirements provided by the customer?</t>
  </si>
  <si>
    <t>Is the Testing phase done onsite?</t>
  </si>
  <si>
    <t>Is the acceptance testing carried out by the customer OR is the system is getting used by the customer?</t>
  </si>
  <si>
    <t xml:space="preserve">Is the project implemented phase-wise? </t>
  </si>
  <si>
    <t>Were there any changes in the requirements?</t>
  </si>
  <si>
    <t xml:space="preserve">Actual End Date
</t>
  </si>
  <si>
    <t xml:space="preserve">% Schedule variance </t>
  </si>
  <si>
    <t>PHASE</t>
  </si>
  <si>
    <t>Rel &amp; Impl</t>
  </si>
  <si>
    <t>Does the Planned efforts in map include the planned efforts for changes ?</t>
  </si>
  <si>
    <t>Are the change in efforts approved by customer  ?</t>
  </si>
  <si>
    <t>Was there any revision of Schedule and efforts only because of change request?</t>
  </si>
  <si>
    <t>Is the change in planned date because of the changes from customer or from customer side?</t>
  </si>
  <si>
    <t>Is the change in schedule accepted by the customer?</t>
  </si>
  <si>
    <t>Is the latest planned date verified by SQA based on the above?</t>
  </si>
  <si>
    <t>Is the change in schedule reflected in the planned end date on Project Info sheet?</t>
  </si>
  <si>
    <t>Are the planned efforts in map the Initial estimated efforts ?</t>
  </si>
  <si>
    <t>Are the Planned efforts the budgetary estimated efforts ?</t>
  </si>
  <si>
    <t>Are the platforms and languages mentioned correctly? (E.g. Java means what J2E or what?)</t>
  </si>
  <si>
    <t>Is the COQ report generated for the entire project (From Project Start date to Project End date) ?</t>
  </si>
  <si>
    <t>Additional data required</t>
  </si>
  <si>
    <t xml:space="preserve">Actual start date of construction phase </t>
  </si>
  <si>
    <t>Actual end date of Testing phase</t>
  </si>
  <si>
    <t>Span of the Coding and testing phase in days</t>
  </si>
  <si>
    <t>Total planned efforts on changes</t>
  </si>
  <si>
    <t>Budgetary efforts given in proposal</t>
  </si>
  <si>
    <t>Size parameters</t>
  </si>
  <si>
    <t>Schedule parameters</t>
  </si>
  <si>
    <t>KLOC</t>
  </si>
  <si>
    <t>Req.</t>
  </si>
  <si>
    <t>Design</t>
  </si>
  <si>
    <t>Testing</t>
  </si>
  <si>
    <t>Efforts on Reviews out of total</t>
  </si>
  <si>
    <t>Warranty/ Post delivery</t>
  </si>
  <si>
    <t>Milestone/ Phase/ task</t>
  </si>
  <si>
    <t>% Defect leakage</t>
  </si>
  <si>
    <t>TestCase Coverage</t>
  </si>
  <si>
    <t>No. of TC/KLOC</t>
  </si>
  <si>
    <t>Development subtype</t>
  </si>
  <si>
    <t>CO</t>
  </si>
  <si>
    <t>OV</t>
  </si>
  <si>
    <t>UN</t>
  </si>
  <si>
    <t>MS</t>
  </si>
  <si>
    <t>HLD</t>
  </si>
  <si>
    <t>DLD</t>
  </si>
  <si>
    <t>PS</t>
  </si>
  <si>
    <t>Int Testing</t>
  </si>
  <si>
    <t>Sys Testing</t>
  </si>
  <si>
    <t>Rel &amp;  Impl</t>
  </si>
  <si>
    <t>Req</t>
  </si>
  <si>
    <t>Testcase preparation</t>
  </si>
  <si>
    <t xml:space="preserve">Defect density for PDLC </t>
  </si>
  <si>
    <t xml:space="preserve">Residual defect density </t>
  </si>
  <si>
    <t>Defects parameters</t>
  </si>
  <si>
    <t>Rel.&amp; Impl.</t>
  </si>
  <si>
    <t>Req. Analysis</t>
  </si>
  <si>
    <t>% Defect distribution based on Injection</t>
  </si>
  <si>
    <t>Domain</t>
  </si>
  <si>
    <t xml:space="preserve">Defect Removal Effectiveness </t>
  </si>
  <si>
    <t>Review Effectiveness</t>
  </si>
  <si>
    <t>Training</t>
  </si>
  <si>
    <t>R&amp;D, Setup &amp; Others</t>
  </si>
  <si>
    <t>SBU</t>
  </si>
  <si>
    <t>REF: Sr No of causal analysis</t>
  </si>
  <si>
    <t>Total Project Efforts</t>
  </si>
  <si>
    <t>Planned Efforts for completed activities</t>
  </si>
  <si>
    <t>Actual Efforts for completed activities</t>
  </si>
  <si>
    <t>Defects Detected At</t>
  </si>
  <si>
    <t>Total defects</t>
  </si>
  <si>
    <t>Ref: Causal analysis</t>
  </si>
  <si>
    <t>Actual Project  Start Date</t>
  </si>
  <si>
    <t>Actual Size of completed work</t>
  </si>
  <si>
    <t>Reused LOC</t>
  </si>
  <si>
    <t>Reusability Index</t>
  </si>
  <si>
    <t>Budgetary</t>
  </si>
  <si>
    <t>DP activities</t>
  </si>
  <si>
    <t xml:space="preserve">Total efforts variance wrt Budgetary estimate </t>
  </si>
  <si>
    <t>CHECKLIST For Closed Projects Development</t>
  </si>
  <si>
    <t>Latest revised Schedule end date</t>
  </si>
  <si>
    <t>PL Name
Extn No</t>
  </si>
  <si>
    <t>PM Name
Extn No</t>
  </si>
  <si>
    <t>Defect goal (No. of defects)</t>
  </si>
  <si>
    <t>Reason for Tailoring</t>
  </si>
  <si>
    <t>Prevention Cost</t>
  </si>
  <si>
    <t xml:space="preserve">Appraisal Cost </t>
  </si>
  <si>
    <t xml:space="preserve">Failure Cost </t>
  </si>
  <si>
    <t>Review effectiveness</t>
  </si>
  <si>
    <t>Defect removal effectiveness</t>
  </si>
  <si>
    <t>Project Information</t>
  </si>
  <si>
    <t>Customer Satisfaction Index</t>
  </si>
  <si>
    <t>Efforts Variance</t>
  </si>
  <si>
    <t>Schedule Variance</t>
  </si>
  <si>
    <t>Schedule variance wrt initial schedule</t>
  </si>
  <si>
    <t>Revised Schedule variance</t>
  </si>
  <si>
    <t>Ref: causal analysis</t>
  </si>
  <si>
    <t>Efforts &amp; defect distribution</t>
  </si>
  <si>
    <t>Requirements</t>
  </si>
  <si>
    <t>Phasewise defect goal tracking</t>
  </si>
  <si>
    <t>Expected Defect distribution (%)</t>
  </si>
  <si>
    <t>Technology  --&gt;</t>
  </si>
  <si>
    <t>Impact</t>
  </si>
  <si>
    <t>IK</t>
  </si>
  <si>
    <t>IS</t>
  </si>
  <si>
    <t>NA</t>
  </si>
  <si>
    <t>CL</t>
  </si>
  <si>
    <t>CP</t>
  </si>
  <si>
    <t>Causal analysis done on Date</t>
  </si>
  <si>
    <t>Sr. No.</t>
  </si>
  <si>
    <t>Description</t>
  </si>
  <si>
    <t>Corrective actions</t>
  </si>
  <si>
    <t>Causal Analysis Type</t>
  </si>
  <si>
    <t>Responsibility</t>
  </si>
  <si>
    <t>Action by date</t>
  </si>
  <si>
    <t>% Failure cost</t>
  </si>
  <si>
    <t>% Prevention cost</t>
  </si>
  <si>
    <t>% Appraisal Cost</t>
  </si>
  <si>
    <t>Failure appraisal index</t>
  </si>
  <si>
    <t>Size variance in Post construction estimate wrt Initial</t>
  </si>
  <si>
    <t>MAP Prepared On</t>
  </si>
  <si>
    <t>MAP Prepared By</t>
  </si>
  <si>
    <t>Activity</t>
  </si>
  <si>
    <t>Unit Testing</t>
  </si>
  <si>
    <t>Def/KLOC</t>
  </si>
  <si>
    <t>TC Prep.</t>
  </si>
  <si>
    <t>UT</t>
  </si>
  <si>
    <t>IT</t>
  </si>
  <si>
    <t>%Cost of Quality</t>
  </si>
  <si>
    <t>Mile Stone 8</t>
  </si>
  <si>
    <t>EX</t>
  </si>
  <si>
    <t>Defect Cause and severity</t>
  </si>
  <si>
    <t>Effort Variance</t>
  </si>
  <si>
    <t>Testcase Preparation</t>
  </si>
  <si>
    <t>Severity Level</t>
  </si>
  <si>
    <t>Effort distribution PDLC</t>
  </si>
  <si>
    <t xml:space="preserve">MAP should include the number of Unit test cases, Integration test cases, System testcases prepared. So the measure of Number of test cases prepared / day can be arrived. This can be a new metric across organization. This will help us in improving our Software testing  </t>
  </si>
  <si>
    <r>
      <t>Is the COQ report inserted as a sheet (</t>
    </r>
    <r>
      <rPr>
        <b/>
        <sz val="9"/>
        <rFont val="Arial"/>
        <family val="2"/>
      </rPr>
      <t>at the end</t>
    </r>
    <r>
      <rPr>
        <sz val="9"/>
        <rFont val="Arial"/>
        <family val="2"/>
      </rPr>
      <t>) in MAP template ?</t>
    </r>
  </si>
  <si>
    <t>Actual Efforts</t>
  </si>
  <si>
    <t>Total Cost of Quality</t>
  </si>
  <si>
    <t>FP</t>
  </si>
  <si>
    <t>Estimated size</t>
  </si>
  <si>
    <t>Estimates</t>
  </si>
  <si>
    <t>Size from Post Construction estimate</t>
  </si>
  <si>
    <t>% Efforts variance</t>
  </si>
  <si>
    <t>% Defect distribution (Injection)</t>
  </si>
  <si>
    <t>% Defect Leakage</t>
  </si>
  <si>
    <t>Causewise distribution %</t>
  </si>
  <si>
    <t>Causewise impact %</t>
  </si>
  <si>
    <t>Severity Distribution %</t>
  </si>
  <si>
    <t>Cumulative impact %</t>
  </si>
  <si>
    <t>Category-wise Impact %</t>
  </si>
  <si>
    <r>
      <t xml:space="preserve">Efforts </t>
    </r>
    <r>
      <rPr>
        <sz val="9"/>
        <color indexed="9"/>
        <rFont val="Arial"/>
        <family val="2"/>
      </rPr>
      <t>(Person days)</t>
    </r>
  </si>
  <si>
    <t>% Defect distribution based on Detection</t>
  </si>
  <si>
    <t xml:space="preserve">Productivity for PDLC (LOC/Day) </t>
  </si>
  <si>
    <t>Unit for size</t>
  </si>
  <si>
    <t>Measure</t>
  </si>
  <si>
    <t>Guidelines</t>
  </si>
  <si>
    <t>Source</t>
  </si>
  <si>
    <t>Estimation sheet</t>
  </si>
  <si>
    <t>FP/ CI/ KLOC</t>
  </si>
  <si>
    <t>Actual size is calculated using the size measurement tool including executable and excluding comment lines, and  blank lines</t>
  </si>
  <si>
    <t>By applying the size tool on source code</t>
  </si>
  <si>
    <t>Size of the reused components/ code</t>
  </si>
  <si>
    <t>LOC</t>
  </si>
  <si>
    <t>Efforts</t>
  </si>
  <si>
    <t>Person Days</t>
  </si>
  <si>
    <t>Actual efforts</t>
  </si>
  <si>
    <t>Timesheet/ MPC</t>
  </si>
  <si>
    <t xml:space="preserve">Efforts are collected for:
Each PDLC stage: Efforts on Core, review and rework
PMLC activities like planning, tracking, status review etc.
SCM, Quality assurance (E.g. audit, QL activities)
Training, R&amp;D, Setup etc. </t>
  </si>
  <si>
    <t>Planned and actual efforts on CRs</t>
  </si>
  <si>
    <t>CR log, MPP, MPC</t>
  </si>
  <si>
    <t xml:space="preserve">Planned and actual dates for milestones </t>
  </si>
  <si>
    <t>MPP/ MPC</t>
  </si>
  <si>
    <t>Date</t>
  </si>
  <si>
    <t>The milestones need not be the PDLC phases. The milestones are to be selected based on the critical path as in MPP.</t>
  </si>
  <si>
    <t xml:space="preserve">Planned and actual, start and end dates of the project </t>
  </si>
  <si>
    <t>Planned end date of the project is taken as per first baselined schedule and then the last revised schedule (only if the revision is due to changes and is accepted by customer0</t>
  </si>
  <si>
    <t>Defects</t>
  </si>
  <si>
    <t>review logs OR DTS</t>
  </si>
  <si>
    <t>Number</t>
  </si>
  <si>
    <t>Bug reports OR DTS</t>
  </si>
  <si>
    <t>Review log, Bug reports OR DTS</t>
  </si>
  <si>
    <t>No. of Test Cases</t>
  </si>
  <si>
    <t>Testcases OR DTS</t>
  </si>
  <si>
    <t>Time spent on:
Project Training (includes self-study)
Time of QL, SQA on process improvement, handholding
Defect Prevention activities
Causal analysis</t>
  </si>
  <si>
    <t>Prevention cost at Org. level</t>
  </si>
  <si>
    <t>Time on SEPG, DPC, Metrics activities</t>
  </si>
  <si>
    <t>Appraisal cost</t>
  </si>
  <si>
    <t>Time spent on:
Reviews (Req., Design, Code, Test cases)
Audits
SMR
Testing (UT, ST, IT )
Test Case Preparation</t>
  </si>
  <si>
    <t>Failure cost</t>
  </si>
  <si>
    <t>Time spent on
Rework (Requirement, Design, Coding, Test cases)
Re-testing (UT, ST, IT)
Fixing post delivery defects (during Warranty period)</t>
  </si>
  <si>
    <r>
      <t>Software Reuse size</t>
    </r>
    <r>
      <rPr>
        <sz val="9"/>
        <color indexed="8"/>
        <rFont val="Arial"/>
        <family val="2"/>
      </rPr>
      <t>: Size of the components reused in the project from other project</t>
    </r>
  </si>
  <si>
    <r>
      <t>Budgetary efforts:</t>
    </r>
    <r>
      <rPr>
        <sz val="9"/>
        <color indexed="8"/>
        <rFont val="Arial"/>
        <family val="2"/>
      </rPr>
      <t xml:space="preserve">  as per the budgetary estimate approved by customer</t>
    </r>
  </si>
  <si>
    <r>
      <t xml:space="preserve">Initial estimated efforts/ planned efforts: </t>
    </r>
    <r>
      <rPr>
        <sz val="9"/>
        <color indexed="8"/>
        <rFont val="Arial"/>
        <family val="2"/>
      </rPr>
      <t>Planned efforts from MPP/WAS should be same as Initial estimate</t>
    </r>
  </si>
  <si>
    <r>
      <t xml:space="preserve">Test defects: </t>
    </r>
    <r>
      <rPr>
        <sz val="9"/>
        <color indexed="8"/>
        <rFont val="Arial"/>
        <family val="2"/>
      </rPr>
      <t>defects identified in various stages of testing like Unit testing, integration testing and system testing</t>
    </r>
  </si>
  <si>
    <r>
      <t>Post delivery defects:</t>
    </r>
    <r>
      <rPr>
        <sz val="9"/>
        <color indexed="8"/>
        <rFont val="Arial"/>
        <family val="2"/>
      </rPr>
      <t xml:space="preserve"> Defects reported by customer after final as well as intermediate deliverables</t>
    </r>
  </si>
  <si>
    <r>
      <t xml:space="preserve">Estimated size: </t>
    </r>
    <r>
      <rPr>
        <sz val="9"/>
        <color indexed="8"/>
        <rFont val="Arial"/>
        <family val="2"/>
      </rPr>
      <t xml:space="preserve">
Size is estimated at minimum two points of time. 
1. Initial estimation
2. Post construction estimation
All the size estimates should be in same unit (E.g. FP, CI)
Conversion factor is applied on the initial estimate to Find out the estimated size in KLOC (For conversion factor refer to Estimation process).
If the re-estimation is done due to scope change, then the new estimation should be baselined and should be used for calculating the size variance</t>
    </r>
  </si>
  <si>
    <t>While collecting efforts for completed activities, the efforts are taken from MPP/WAS for the activities in that stage which status is 'Completed'
E.g. If there are four activities
Act1       status: complete       Pln. Eff. 5  Act.Eff. 6
Act2       status: ongoing         Pln. Eff. 6  Act. Eff. 6
Act3       status: complete       Pln. Eff. 7  Act. Eff. 9 
Act3       status: complete       Pln. Eff. 4  Act. Eff. 4 
then planned efforts for completed activities = 5+7+4
Actual efforts for completed activities = 6+9+4</t>
  </si>
  <si>
    <r>
      <t>Review defects:</t>
    </r>
    <r>
      <rPr>
        <sz val="9"/>
        <color indexed="8"/>
        <rFont val="Arial"/>
        <family val="2"/>
      </rPr>
      <t xml:space="preserve"> The review defects are the defects detected in reviews of PDLC work-products like Requirements Specs, design documents, program specs and Code.
This should not include defects in review of project management related documents like PMP, estimation sheet. </t>
    </r>
  </si>
  <si>
    <t>To be filled at the end of project. It is the summation of Test Cases prepared for Unit, Integration, System and Acceptance testing. Each test condition/action (Each row in test-cases document) to be considered as a separate testcase. Or each permutation of inputs giving specific combination output. (Each column in new testcase matrix template)</t>
  </si>
  <si>
    <t>Project Area</t>
  </si>
  <si>
    <t>Sub-cause</t>
  </si>
  <si>
    <t>Corrective/ preventive action</t>
  </si>
  <si>
    <t>Requirement analysis</t>
  </si>
  <si>
    <t xml:space="preserve">Frequent changes </t>
  </si>
  <si>
    <t>Requirement not understood properly</t>
  </si>
  <si>
    <t>H/L</t>
  </si>
  <si>
    <t>H</t>
  </si>
  <si>
    <t>Revisit the requirements. 
Get the requirements reviewed by domain expert. 
Get all the requirements clarified again.</t>
  </si>
  <si>
    <t>Customer not clear about requirements</t>
  </si>
  <si>
    <t>Develop the high risk modules/ unclear requirements as a prototype and get it reviewed/ approved by customer.
Intermediate releases
Follow iterative model</t>
  </si>
  <si>
    <t>Estimation</t>
  </si>
  <si>
    <t>Under-estimate</t>
  </si>
  <si>
    <t>Complexity is more than estimated</t>
  </si>
  <si>
    <t>Revisit the estimation and assumptions</t>
  </si>
  <si>
    <t>Productivity is lower than considered</t>
  </si>
  <si>
    <t>Revisit the productivity considered in estimation</t>
  </si>
  <si>
    <t>Estimation not done for additional documentation, set-up, R&amp;D, training</t>
  </si>
  <si>
    <t>Re-estimate for additional activities</t>
  </si>
  <si>
    <t>Over estimate</t>
  </si>
  <si>
    <t>Less efforts required due to similar functions</t>
  </si>
  <si>
    <t>L</t>
  </si>
  <si>
    <t>Revisit the estimate.</t>
  </si>
  <si>
    <t>Improper efforts distribution</t>
  </si>
  <si>
    <t>Change the efforts planned for remaining phases</t>
  </si>
  <si>
    <t>Rework</t>
  </si>
  <si>
    <t>Design assumptions do not meet the final requirements</t>
  </si>
  <si>
    <t>Revisit the assumptions w.r.t. requirements. Get it reviewed by experts</t>
  </si>
  <si>
    <t>Module interdependency is high</t>
  </si>
  <si>
    <t>Revise estimation/ goals</t>
  </si>
  <si>
    <t>Technical</t>
  </si>
  <si>
    <t>Unknown technical problems, technical limitations</t>
  </si>
  <si>
    <t>Get the help from external expertise</t>
  </si>
  <si>
    <t>Skills and experience</t>
  </si>
  <si>
    <t>Insufficient skills / experience</t>
  </si>
  <si>
    <t>Insufficient skills &amp;  insufficient training</t>
  </si>
  <si>
    <t>knowledge sharing within the team.</t>
  </si>
  <si>
    <t>Insufficient experience</t>
  </si>
  <si>
    <t>knowledge sharing within the team.
Review and monitoring by experienced.</t>
  </si>
  <si>
    <t>New technology</t>
  </si>
  <si>
    <t>Knowledge sharing within the team.
Take help of experts/ venders</t>
  </si>
  <si>
    <t>All team members are skilled / experienced</t>
  </si>
  <si>
    <t>Revisit the goals</t>
  </si>
  <si>
    <t>Tools</t>
  </si>
  <si>
    <t>Reduction in efforts due to usage of tools</t>
  </si>
  <si>
    <t>Tools used for Req./ Design/ Coding</t>
  </si>
  <si>
    <t>Revisit the estimation of corresponding phase</t>
  </si>
  <si>
    <t>Tools used for review or testing</t>
  </si>
  <si>
    <t>Revisit the estimation of testing phase
Revisit the goal for RE/ DRE</t>
  </si>
  <si>
    <t>Planning</t>
  </si>
  <si>
    <t>Resource allocation</t>
  </si>
  <si>
    <t>Improper resource allocation</t>
  </si>
  <si>
    <t>Insufficient resources available</t>
  </si>
  <si>
    <t>Raise an SMR</t>
  </si>
  <si>
    <t>Project tracking</t>
  </si>
  <si>
    <t>Waiting time</t>
  </si>
  <si>
    <t>Too much of waiting time.. Delay from customer in responding to queries</t>
  </si>
  <si>
    <t>No proper communication between offshore and onsite</t>
  </si>
  <si>
    <t>More time spent in communicating with onsite</t>
  </si>
  <si>
    <t>Review</t>
  </si>
  <si>
    <t>Ineffective reviews</t>
  </si>
  <si>
    <t>Reviewers are not experienced, clear about objectives, Defect leakage is high</t>
  </si>
  <si>
    <t>Plan external reviews/ reviews by experts (Atleast on sampling basis and try to look for similar errors in remaining part)</t>
  </si>
  <si>
    <t>Effective reviews</t>
  </si>
  <si>
    <t>Self review</t>
  </si>
  <si>
    <t>collective review/ Extensive review in previous stage</t>
  </si>
  <si>
    <t>Monitor the defects in the subsequent phase. Assess the impact of the same on remaining phases.</t>
  </si>
  <si>
    <t>Reuse</t>
  </si>
  <si>
    <t>Reusable components / products used</t>
  </si>
  <si>
    <t>Re estimate / reduce the efforts planned</t>
  </si>
  <si>
    <t>Several iterations of testing were required due to rework</t>
  </si>
  <si>
    <t>Note:
Following table illustrates the possible causes pertaining to different project areas. It's impact on the basic measures like Size, Efforts, Schedule and defects is also indicated. The table should be used as reference to arrive at root causes based on cause and sub-cause given. The detail or root cause could be project specific.
After identifying all possible causes, assess it's impact w.r.t. different measures using the table and validate the causes.
The impact of the cause on remaining project should be assessed
The table also mention possible corrective or preventive actions. The type of action will depend on the impact of cause on remaining project.</t>
  </si>
  <si>
    <t>Mile Stone 9</t>
  </si>
  <si>
    <t>Mile Stone 10</t>
  </si>
  <si>
    <t>Mile Stone 11</t>
  </si>
  <si>
    <t>Mile Stone 12</t>
  </si>
  <si>
    <t>Mile Stone 13</t>
  </si>
  <si>
    <t>Mile Stone 14</t>
  </si>
  <si>
    <t>Mile Stone 15</t>
  </si>
  <si>
    <t>Mile Stone 16</t>
  </si>
  <si>
    <t>Mile Stone 17</t>
  </si>
  <si>
    <r>
      <t xml:space="preserve">Cost Of Quality  </t>
    </r>
    <r>
      <rPr>
        <sz val="10"/>
        <color indexed="9"/>
        <rFont val="Arial"/>
        <family val="2"/>
      </rPr>
      <t>(Person Days)</t>
    </r>
  </si>
  <si>
    <r>
      <t xml:space="preserve">Total Change Request Efforts 
</t>
    </r>
    <r>
      <rPr>
        <b/>
        <sz val="9"/>
        <color indexed="9"/>
        <rFont val="Arial"/>
        <family val="2"/>
      </rPr>
      <t xml:space="preserve">Planned/Estimated </t>
    </r>
    <r>
      <rPr>
        <sz val="9"/>
        <color indexed="9"/>
        <rFont val="Arial"/>
        <family val="2"/>
      </rPr>
      <t>for the entire project</t>
    </r>
  </si>
  <si>
    <r>
      <t xml:space="preserve">Total Change Request Efforts
</t>
    </r>
    <r>
      <rPr>
        <b/>
        <sz val="9"/>
        <color indexed="9"/>
        <rFont val="Arial"/>
        <family val="2"/>
      </rPr>
      <t>Actual</t>
    </r>
    <r>
      <rPr>
        <sz val="9"/>
        <color indexed="9"/>
        <rFont val="Arial"/>
        <family val="2"/>
      </rPr>
      <t xml:space="preserve"> spent for the entire project</t>
    </r>
  </si>
  <si>
    <r>
      <t>Efforts -</t>
    </r>
    <r>
      <rPr>
        <sz val="10"/>
        <color indexed="9"/>
        <rFont val="Arial"/>
        <family val="2"/>
      </rPr>
      <t>Technologywise</t>
    </r>
  </si>
  <si>
    <t>Planned End Date</t>
  </si>
  <si>
    <t>Defects Introduced At</t>
  </si>
  <si>
    <t>Color conventions used in MAP template:</t>
  </si>
  <si>
    <t>Example</t>
  </si>
  <si>
    <t>Cells contains information of Table headings, Titles etc. (Non editable)</t>
  </si>
  <si>
    <t>Cells contains values which are calculated by formula. Effort variance, schedule variance etc. (Non editable)</t>
  </si>
  <si>
    <t>Cells where values / data to be entered to generate MAP periodically. (Editable)</t>
  </si>
  <si>
    <t>Cells where values / data to be entered at the end of the project to calculate post delivery parameters.</t>
  </si>
  <si>
    <t>Cells contains values of post delivery parameters which are calculated at the end of the project only after "Process Post-Delivery Parameters" is "Y". Else values of these cells appears in hidden mode.</t>
  </si>
  <si>
    <t>Person days</t>
  </si>
  <si>
    <t>Causal Analysis Guidelines</t>
  </si>
  <si>
    <t>Causal Analysis</t>
  </si>
  <si>
    <t>Data Collection Guidelines</t>
  </si>
  <si>
    <t xml:space="preserve">Status </t>
  </si>
  <si>
    <t xml:space="preserve">Status as on Date </t>
  </si>
  <si>
    <t>Development Effort Variance (%)</t>
  </si>
  <si>
    <r>
      <t>Defect Leakage -</t>
    </r>
    <r>
      <rPr>
        <sz val="12"/>
        <color indexed="9"/>
        <rFont val="Arial"/>
        <family val="2"/>
      </rPr>
      <t xml:space="preserve"> Excluding SG</t>
    </r>
  </si>
  <si>
    <r>
      <t>Total-</t>
    </r>
    <r>
      <rPr>
        <sz val="9"/>
        <color indexed="9"/>
        <rFont val="Arial"/>
        <family val="2"/>
      </rPr>
      <t xml:space="preserve"> Excluding SG</t>
    </r>
  </si>
  <si>
    <r>
      <t xml:space="preserve">Impact </t>
    </r>
    <r>
      <rPr>
        <sz val="9"/>
        <color indexed="9"/>
        <rFont val="Arial"/>
        <family val="2"/>
      </rPr>
      <t>Causewise  %</t>
    </r>
  </si>
  <si>
    <r>
      <t>Impact</t>
    </r>
    <r>
      <rPr>
        <sz val="9"/>
        <color indexed="9"/>
        <rFont val="Arial"/>
        <family val="2"/>
      </rPr>
      <t xml:space="preserve"> Cumulative %</t>
    </r>
  </si>
  <si>
    <t>Y</t>
  </si>
  <si>
    <t>IAP-001</t>
  </si>
  <si>
    <t>INSURANCE AGENT PORTAL</t>
  </si>
  <si>
    <t>Jitesh Mishra</t>
  </si>
  <si>
    <t>Fixed Price</t>
  </si>
  <si>
    <t>Development</t>
  </si>
  <si>
    <t>Simran Kumari</t>
  </si>
  <si>
    <t>Shreyash Agrawal</t>
  </si>
  <si>
    <t>Varun Khadayate</t>
  </si>
  <si>
    <t>Windows</t>
  </si>
  <si>
    <t>Large</t>
  </si>
  <si>
    <t>DBMS</t>
  </si>
  <si>
    <t>Angular 10, Bootstrap, Google Forms</t>
  </si>
  <si>
    <t>For more details regarding tools refer PM-01-05-Resource_Register final.xlsx</t>
  </si>
  <si>
    <t>Marketing</t>
  </si>
  <si>
    <t>Webbased</t>
  </si>
  <si>
    <t>Powai</t>
  </si>
  <si>
    <t>HTML</t>
  </si>
  <si>
    <t>CSS</t>
  </si>
  <si>
    <t>ANGULAR</t>
  </si>
  <si>
    <t>Acceptance of Requirement documentation</t>
  </si>
  <si>
    <t>Creation of Planning Documents</t>
  </si>
  <si>
    <t xml:space="preserve">Acceptance of Estimation Documentation </t>
  </si>
  <si>
    <t>Acceptance of HLD Documents</t>
  </si>
  <si>
    <t>Acceptance of DLD Documents</t>
  </si>
  <si>
    <t>Acceptance of Testing Documents</t>
  </si>
  <si>
    <t>Acceptance of Metric Documentation</t>
  </si>
  <si>
    <t>Derived using BSPIN matrix</t>
  </si>
  <si>
    <t>N</t>
  </si>
  <si>
    <t>25 - 75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</si>
</sst>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_(* #,##0.00_);_(* \(#,##0.00\);_(* &quot;-&quot;??_);_(@_)"/>
    <numFmt numFmtId="166" formatCode="0.0000"/>
    <numFmt numFmtId="167" formatCode="0.000"/>
    <numFmt numFmtId="168" formatCode="0;[Red]0"/>
    <numFmt numFmtId="169" formatCode="0.00;[Red]0.00"/>
    <numFmt numFmtId="170" formatCode="&quot;$&quot;#,##0.00;[Red]&quot;$&quot;#,##0.00"/>
  </numFmts>
  <fonts count="39" x14ac:knownFonts="1">
    <font>
      <sz val="10"/>
      <name val="Arial"/>
    </font>
    <font>
      <sz val="10"/>
      <name val="Arial"/>
      <family val="2"/>
    </font>
    <font>
      <sz val="10"/>
      <name val="Times New Roman"/>
      <family val="1"/>
    </font>
    <font>
      <b/>
      <sz val="8"/>
      <color indexed="81"/>
      <name val="Tahoma"/>
      <family val="2"/>
    </font>
    <font>
      <b/>
      <sz val="12"/>
      <color indexed="9"/>
      <name val="Times New Roman"/>
      <family val="1"/>
    </font>
    <font>
      <sz val="10"/>
      <name val="Arial"/>
      <family val="2"/>
    </font>
    <font>
      <sz val="10"/>
      <color indexed="9"/>
      <name val="Arial"/>
      <family val="2"/>
    </font>
    <font>
      <b/>
      <sz val="10"/>
      <color indexed="9"/>
      <name val="Arial"/>
      <family val="2"/>
    </font>
    <font>
      <u/>
      <sz val="10"/>
      <color indexed="12"/>
      <name val="Arial"/>
      <family val="2"/>
    </font>
    <font>
      <sz val="9"/>
      <name val="Times New Roman"/>
      <family val="1"/>
    </font>
    <font>
      <b/>
      <sz val="9"/>
      <color indexed="9"/>
      <name val="Arial"/>
      <family val="2"/>
    </font>
    <font>
      <b/>
      <sz val="10"/>
      <name val="Arial"/>
      <family val="2"/>
    </font>
    <font>
      <sz val="10"/>
      <name val="Arial"/>
      <family val="2"/>
    </font>
    <font>
      <sz val="9"/>
      <color indexed="9"/>
      <name val="Arial"/>
      <family val="2"/>
    </font>
    <font>
      <b/>
      <sz val="9"/>
      <name val="Arial"/>
      <family val="2"/>
    </font>
    <font>
      <sz val="9"/>
      <name val="Arial"/>
      <family val="2"/>
    </font>
    <font>
      <b/>
      <sz val="11"/>
      <color indexed="9"/>
      <name val="Arial"/>
      <family val="2"/>
    </font>
    <font>
      <b/>
      <sz val="12"/>
      <color indexed="9"/>
      <name val="Arial"/>
      <family val="2"/>
    </font>
    <font>
      <sz val="11"/>
      <name val="Arial"/>
      <family val="2"/>
    </font>
    <font>
      <u/>
      <sz val="9"/>
      <color indexed="12"/>
      <name val="Arial"/>
      <family val="2"/>
    </font>
    <font>
      <sz val="9"/>
      <color indexed="81"/>
      <name val="Tahoma"/>
      <family val="2"/>
    </font>
    <font>
      <b/>
      <i/>
      <u/>
      <sz val="9"/>
      <color indexed="9"/>
      <name val="Arial"/>
      <family val="2"/>
    </font>
    <font>
      <sz val="9"/>
      <color indexed="10"/>
      <name val="Arial"/>
      <family val="2"/>
    </font>
    <font>
      <b/>
      <sz val="8"/>
      <name val="Arial"/>
      <family val="2"/>
    </font>
    <font>
      <b/>
      <sz val="10"/>
      <color indexed="10"/>
      <name val="Arial"/>
      <family val="2"/>
    </font>
    <font>
      <b/>
      <sz val="12"/>
      <name val="Arial"/>
      <family val="2"/>
    </font>
    <font>
      <sz val="9"/>
      <color indexed="18"/>
      <name val="Arial"/>
      <family val="2"/>
    </font>
    <font>
      <b/>
      <sz val="9"/>
      <color indexed="18"/>
      <name val="Arial"/>
      <family val="2"/>
    </font>
    <font>
      <sz val="9"/>
      <color indexed="8"/>
      <name val="Arial"/>
      <family val="2"/>
    </font>
    <font>
      <b/>
      <sz val="9"/>
      <color indexed="8"/>
      <name val="Arial"/>
      <family val="2"/>
    </font>
    <font>
      <sz val="8"/>
      <color indexed="81"/>
      <name val="Tahoma"/>
      <family val="2"/>
    </font>
    <font>
      <b/>
      <sz val="8"/>
      <color indexed="14"/>
      <name val="Tahoma"/>
      <family val="2"/>
    </font>
    <font>
      <b/>
      <u/>
      <sz val="12"/>
      <name val="Arial"/>
      <family val="2"/>
    </font>
    <font>
      <b/>
      <sz val="10"/>
      <color indexed="18"/>
      <name val="Arial"/>
      <family val="2"/>
    </font>
    <font>
      <sz val="10"/>
      <color indexed="18"/>
      <name val="Arial"/>
      <family val="2"/>
    </font>
    <font>
      <sz val="10"/>
      <name val="Arial"/>
      <family val="2"/>
    </font>
    <font>
      <sz val="12"/>
      <color indexed="9"/>
      <name val="Arial"/>
      <family val="2"/>
    </font>
    <font>
      <b/>
      <sz val="10"/>
      <color rgb="FF000000"/>
      <name val="Arial"/>
      <family val="2"/>
    </font>
    <font>
      <sz val="10"/>
      <color rgb="FF000000"/>
      <name val="Arial"/>
      <family val="2"/>
    </font>
  </fonts>
  <fills count="11">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19"/>
        <bgColor indexed="64"/>
      </patternFill>
    </fill>
    <fill>
      <patternFill patternType="solid">
        <fgColor indexed="57"/>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lightGray">
        <bgColor indexed="9"/>
      </patternFill>
    </fill>
    <fill>
      <patternFill patternType="solid">
        <fgColor indexed="8"/>
        <bgColor indexed="64"/>
      </patternFill>
    </fill>
  </fills>
  <borders count="71">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style="thin">
        <color indexed="22"/>
      </top>
      <bottom style="thin">
        <color indexed="64"/>
      </bottom>
      <diagonal/>
    </border>
    <border>
      <left style="thin">
        <color indexed="22"/>
      </left>
      <right/>
      <top style="thin">
        <color indexed="22"/>
      </top>
      <bottom style="thin">
        <color indexed="22"/>
      </bottom>
      <diagonal/>
    </border>
    <border>
      <left style="thin">
        <color indexed="64"/>
      </left>
      <right style="thin">
        <color indexed="55"/>
      </right>
      <top style="thin">
        <color indexed="64"/>
      </top>
      <bottom style="thin">
        <color indexed="55"/>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style="thin">
        <color indexed="64"/>
      </left>
      <right style="thin">
        <color indexed="55"/>
      </right>
      <top style="thin">
        <color indexed="55"/>
      </top>
      <bottom style="thin">
        <color indexed="55"/>
      </bottom>
      <diagonal/>
    </border>
    <border>
      <left style="thin">
        <color indexed="64"/>
      </left>
      <right style="thin">
        <color indexed="55"/>
      </right>
      <top style="thin">
        <color indexed="55"/>
      </top>
      <bottom style="thin">
        <color indexed="64"/>
      </bottom>
      <diagonal/>
    </border>
    <border>
      <left style="thin">
        <color indexed="55"/>
      </left>
      <right style="thin">
        <color indexed="55"/>
      </right>
      <top style="thin">
        <color indexed="55"/>
      </top>
      <bottom style="thin">
        <color indexed="64"/>
      </bottom>
      <diagonal/>
    </border>
    <border>
      <left style="thin">
        <color indexed="23"/>
      </left>
      <right style="thin">
        <color indexed="55"/>
      </right>
      <top style="thin">
        <color indexed="64"/>
      </top>
      <bottom style="thin">
        <color indexed="55"/>
      </bottom>
      <diagonal/>
    </border>
    <border>
      <left style="thin">
        <color indexed="22"/>
      </left>
      <right style="thin">
        <color indexed="22"/>
      </right>
      <top style="medium">
        <color indexed="22"/>
      </top>
      <bottom style="thin">
        <color indexed="22"/>
      </bottom>
      <diagonal/>
    </border>
    <border>
      <left style="thin">
        <color indexed="22"/>
      </left>
      <right style="medium">
        <color indexed="22"/>
      </right>
      <top style="medium">
        <color indexed="22"/>
      </top>
      <bottom style="thin">
        <color indexed="22"/>
      </bottom>
      <diagonal/>
    </border>
    <border>
      <left style="thin">
        <color indexed="22"/>
      </left>
      <right style="thin">
        <color indexed="22"/>
      </right>
      <top style="thin">
        <color indexed="22"/>
      </top>
      <bottom/>
      <diagonal/>
    </border>
    <border>
      <left style="medium">
        <color indexed="22"/>
      </left>
      <right style="thin">
        <color indexed="22"/>
      </right>
      <top style="medium">
        <color indexed="22"/>
      </top>
      <bottom style="thin">
        <color indexed="22"/>
      </bottom>
      <diagonal/>
    </border>
    <border>
      <left style="medium">
        <color indexed="22"/>
      </left>
      <right style="thin">
        <color indexed="22"/>
      </right>
      <top style="thin">
        <color indexed="22"/>
      </top>
      <bottom style="thin">
        <color indexed="22"/>
      </bottom>
      <diagonal/>
    </border>
    <border>
      <left style="medium">
        <color indexed="22"/>
      </left>
      <right style="thin">
        <color indexed="22"/>
      </right>
      <top style="thin">
        <color indexed="22"/>
      </top>
      <bottom style="medium">
        <color indexed="22"/>
      </bottom>
      <diagonal/>
    </border>
    <border>
      <left style="thin">
        <color indexed="22"/>
      </left>
      <right style="medium">
        <color indexed="22"/>
      </right>
      <top style="thin">
        <color indexed="22"/>
      </top>
      <bottom style="thin">
        <color indexed="22"/>
      </bottom>
      <diagonal/>
    </border>
    <border>
      <left style="thin">
        <color indexed="22"/>
      </left>
      <right style="thin">
        <color indexed="22"/>
      </right>
      <top style="thin">
        <color indexed="22"/>
      </top>
      <bottom style="medium">
        <color indexed="22"/>
      </bottom>
      <diagonal/>
    </border>
    <border>
      <left style="thin">
        <color indexed="22"/>
      </left>
      <right style="medium">
        <color indexed="22"/>
      </right>
      <top style="thin">
        <color indexed="22"/>
      </top>
      <bottom style="medium">
        <color indexed="22"/>
      </bottom>
      <diagonal/>
    </border>
    <border>
      <left/>
      <right/>
      <top/>
      <bottom style="medium">
        <color indexed="22"/>
      </bottom>
      <diagonal/>
    </border>
    <border>
      <left style="medium">
        <color indexed="22"/>
      </left>
      <right style="thin">
        <color indexed="22"/>
      </right>
      <top style="thin">
        <color indexed="22"/>
      </top>
      <bottom/>
      <diagonal/>
    </border>
    <border>
      <left style="thin">
        <color indexed="22"/>
      </left>
      <right style="medium">
        <color indexed="22"/>
      </right>
      <top style="medium">
        <color indexed="64"/>
      </top>
      <bottom style="thin">
        <color indexed="22"/>
      </bottom>
      <diagonal/>
    </border>
    <border>
      <left style="thin">
        <color indexed="22"/>
      </left>
      <right/>
      <top style="thin">
        <color indexed="22"/>
      </top>
      <bottom style="medium">
        <color indexed="64"/>
      </bottom>
      <diagonal/>
    </border>
    <border>
      <left/>
      <right style="medium">
        <color indexed="22"/>
      </right>
      <top style="thin">
        <color indexed="22"/>
      </top>
      <bottom style="medium">
        <color indexed="64"/>
      </bottom>
      <diagonal/>
    </border>
    <border>
      <left style="thin">
        <color indexed="22"/>
      </left>
      <right/>
      <top style="thin">
        <color indexed="22"/>
      </top>
      <bottom/>
      <diagonal/>
    </border>
    <border>
      <left style="thin">
        <color indexed="22"/>
      </left>
      <right/>
      <top/>
      <bottom style="thin">
        <color indexed="22"/>
      </bottom>
      <diagonal/>
    </border>
    <border>
      <left style="medium">
        <color indexed="22"/>
      </left>
      <right style="thin">
        <color indexed="22"/>
      </right>
      <top style="medium">
        <color indexed="22"/>
      </top>
      <bottom style="medium">
        <color indexed="22"/>
      </bottom>
      <diagonal/>
    </border>
    <border>
      <left style="thin">
        <color indexed="22"/>
      </left>
      <right style="thin">
        <color indexed="22"/>
      </right>
      <top style="medium">
        <color indexed="22"/>
      </top>
      <bottom style="medium">
        <color indexed="22"/>
      </bottom>
      <diagonal/>
    </border>
    <border>
      <left style="thin">
        <color indexed="22"/>
      </left>
      <right style="thin">
        <color indexed="22"/>
      </right>
      <top/>
      <bottom/>
      <diagonal/>
    </border>
    <border>
      <left style="thin">
        <color indexed="22"/>
      </left>
      <right style="medium">
        <color indexed="22"/>
      </right>
      <top style="thin">
        <color indexed="22"/>
      </top>
      <bottom/>
      <diagonal/>
    </border>
    <border>
      <left style="thin">
        <color indexed="22"/>
      </left>
      <right/>
      <top style="thin">
        <color indexed="22"/>
      </top>
      <bottom style="medium">
        <color indexed="22"/>
      </bottom>
      <diagonal/>
    </border>
    <border>
      <left style="medium">
        <color indexed="22"/>
      </left>
      <right/>
      <top style="thin">
        <color indexed="22"/>
      </top>
      <bottom style="medium">
        <color indexed="22"/>
      </bottom>
      <diagonal/>
    </border>
    <border>
      <left style="medium">
        <color indexed="22"/>
      </left>
      <right/>
      <top/>
      <bottom style="medium">
        <color indexed="22"/>
      </bottom>
      <diagonal/>
    </border>
    <border>
      <left style="thin">
        <color indexed="22"/>
      </left>
      <right style="thin">
        <color indexed="22"/>
      </right>
      <top/>
      <bottom style="medium">
        <color indexed="22"/>
      </bottom>
      <diagonal/>
    </border>
    <border>
      <left style="thin">
        <color indexed="22"/>
      </left>
      <right style="medium">
        <color indexed="22"/>
      </right>
      <top/>
      <bottom style="medium">
        <color indexed="22"/>
      </bottom>
      <diagonal/>
    </border>
    <border>
      <left style="thin">
        <color indexed="22"/>
      </left>
      <right style="medium">
        <color indexed="22"/>
      </right>
      <top style="medium">
        <color indexed="22"/>
      </top>
      <bottom style="medium">
        <color indexed="22"/>
      </bottom>
      <diagonal/>
    </border>
    <border>
      <left style="medium">
        <color indexed="22"/>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medium">
        <color indexed="22"/>
      </right>
      <top/>
      <bottom style="thin">
        <color indexed="22"/>
      </bottom>
      <diagonal/>
    </border>
    <border>
      <left style="medium">
        <color indexed="22"/>
      </left>
      <right style="thin">
        <color indexed="22"/>
      </right>
      <top style="medium">
        <color indexed="22"/>
      </top>
      <bottom/>
      <diagonal/>
    </border>
    <border>
      <left style="thin">
        <color indexed="22"/>
      </left>
      <right style="thin">
        <color indexed="22"/>
      </right>
      <top style="medium">
        <color indexed="22"/>
      </top>
      <bottom/>
      <diagonal/>
    </border>
    <border>
      <left/>
      <right/>
      <top style="medium">
        <color indexed="22"/>
      </top>
      <bottom style="thin">
        <color indexed="22"/>
      </bottom>
      <diagonal/>
    </border>
    <border>
      <left/>
      <right style="medium">
        <color indexed="22"/>
      </right>
      <top style="medium">
        <color indexed="22"/>
      </top>
      <bottom style="thin">
        <color indexed="22"/>
      </bottom>
      <diagonal/>
    </border>
    <border>
      <left/>
      <right style="medium">
        <color indexed="22"/>
      </right>
      <top style="thin">
        <color indexed="22"/>
      </top>
      <bottom style="thin">
        <color indexed="22"/>
      </bottom>
      <diagonal/>
    </border>
    <border>
      <left/>
      <right style="medium">
        <color indexed="22"/>
      </right>
      <top style="thin">
        <color indexed="22"/>
      </top>
      <bottom style="medium">
        <color indexed="22"/>
      </bottom>
      <diagonal/>
    </border>
    <border>
      <left style="thin">
        <color indexed="64"/>
      </left>
      <right/>
      <top style="thin">
        <color indexed="64"/>
      </top>
      <bottom/>
      <diagonal/>
    </border>
    <border>
      <left style="medium">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medium">
        <color indexed="22"/>
      </left>
      <right/>
      <top style="medium">
        <color indexed="22"/>
      </top>
      <bottom style="thin">
        <color indexed="22"/>
      </bottom>
      <diagonal/>
    </border>
    <border>
      <left style="medium">
        <color indexed="22"/>
      </left>
      <right/>
      <top style="medium">
        <color indexed="22"/>
      </top>
      <bottom/>
      <diagonal/>
    </border>
    <border>
      <left/>
      <right/>
      <top style="medium">
        <color indexed="22"/>
      </top>
      <bottom/>
      <diagonal/>
    </border>
    <border>
      <left/>
      <right style="medium">
        <color indexed="22"/>
      </right>
      <top style="medium">
        <color indexed="22"/>
      </top>
      <bottom/>
      <diagonal/>
    </border>
    <border>
      <left/>
      <right/>
      <top style="thin">
        <color indexed="22"/>
      </top>
      <bottom style="thin">
        <color indexed="22"/>
      </bottom>
      <diagonal/>
    </border>
    <border>
      <left style="medium">
        <color indexed="22"/>
      </left>
      <right/>
      <top style="medium">
        <color indexed="64"/>
      </top>
      <bottom style="thin">
        <color indexed="22"/>
      </bottom>
      <diagonal/>
    </border>
    <border>
      <left/>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top style="medium">
        <color indexed="22"/>
      </top>
      <bottom style="thin">
        <color indexed="22"/>
      </bottom>
      <diagonal/>
    </border>
    <border>
      <left style="thin">
        <color indexed="64"/>
      </left>
      <right style="thin">
        <color indexed="55"/>
      </right>
      <top style="thin">
        <color indexed="55"/>
      </top>
      <bottom/>
      <diagonal/>
    </border>
    <border>
      <left style="thin">
        <color indexed="64"/>
      </left>
      <right style="thin">
        <color indexed="55"/>
      </right>
      <top/>
      <bottom/>
      <diagonal/>
    </border>
    <border>
      <left style="thin">
        <color indexed="64"/>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double">
        <color indexed="10"/>
      </left>
      <right/>
      <top style="double">
        <color indexed="10"/>
      </top>
      <bottom style="double">
        <color indexed="10"/>
      </bottom>
      <diagonal/>
    </border>
    <border>
      <left/>
      <right/>
      <top style="double">
        <color indexed="10"/>
      </top>
      <bottom style="double">
        <color indexed="10"/>
      </bottom>
      <diagonal/>
    </border>
    <border>
      <left/>
      <right style="double">
        <color indexed="10"/>
      </right>
      <top style="double">
        <color indexed="10"/>
      </top>
      <bottom style="double">
        <color indexed="10"/>
      </bottom>
      <diagonal/>
    </border>
  </borders>
  <cellStyleXfs count="5">
    <xf numFmtId="0" fontId="0" fillId="0" borderId="0"/>
    <xf numFmtId="165" fontId="1" fillId="0" borderId="0" applyFont="0" applyFill="0" applyBorder="0" applyAlignment="0" applyProtection="0"/>
    <xf numFmtId="164" fontId="1" fillId="0" borderId="0" applyFont="0" applyFill="0" applyBorder="0" applyAlignment="0" applyProtection="0"/>
    <xf numFmtId="0" fontId="8" fillId="0" borderId="0" applyNumberFormat="0" applyFill="0" applyBorder="0" applyAlignment="0" applyProtection="0">
      <alignment vertical="top"/>
      <protection locked="0"/>
    </xf>
    <xf numFmtId="9" fontId="1" fillId="0" borderId="0" applyFont="0" applyFill="0" applyBorder="0" applyAlignment="0" applyProtection="0"/>
  </cellStyleXfs>
  <cellXfs count="426">
    <xf numFmtId="0" fontId="0" fillId="0" borderId="0" xfId="0"/>
    <xf numFmtId="0" fontId="2" fillId="2" borderId="0" xfId="0" applyFont="1" applyFill="1" applyBorder="1" applyAlignment="1" applyProtection="1">
      <alignment vertical="top" wrapText="1"/>
      <protection locked="0"/>
    </xf>
    <xf numFmtId="0" fontId="15" fillId="2" borderId="0" xfId="0" applyFont="1" applyFill="1" applyBorder="1" applyAlignment="1" applyProtection="1">
      <alignment vertical="center"/>
      <protection locked="0"/>
    </xf>
    <xf numFmtId="0" fontId="15" fillId="0" borderId="0" xfId="0" applyFont="1" applyBorder="1" applyAlignment="1" applyProtection="1">
      <alignment vertical="center"/>
      <protection locked="0"/>
    </xf>
    <xf numFmtId="0" fontId="2" fillId="0" borderId="2" xfId="0" applyFont="1" applyBorder="1" applyAlignment="1" applyProtection="1">
      <alignment vertical="top" wrapText="1"/>
      <protection locked="0"/>
    </xf>
    <xf numFmtId="0" fontId="2" fillId="0" borderId="2" xfId="0" applyFont="1" applyFill="1" applyBorder="1" applyAlignment="1" applyProtection="1">
      <alignment vertical="top" wrapText="1"/>
      <protection locked="0"/>
    </xf>
    <xf numFmtId="0" fontId="2" fillId="0" borderId="3" xfId="0" applyFont="1" applyBorder="1" applyAlignment="1" applyProtection="1">
      <alignment vertical="top" wrapText="1"/>
      <protection locked="0"/>
    </xf>
    <xf numFmtId="0" fontId="12" fillId="2" borderId="0" xfId="0" applyFont="1" applyFill="1" applyAlignment="1" applyProtection="1">
      <alignment vertical="top" wrapText="1"/>
      <protection locked="0"/>
    </xf>
    <xf numFmtId="0" fontId="11" fillId="0" borderId="0" xfId="0" applyFont="1" applyFill="1" applyBorder="1" applyAlignment="1" applyProtection="1">
      <alignment horizontal="right" vertical="top" wrapText="1"/>
      <protection locked="0"/>
    </xf>
    <xf numFmtId="0" fontId="12" fillId="0" borderId="0" xfId="0" applyFont="1" applyAlignment="1" applyProtection="1">
      <alignment vertical="top" wrapText="1"/>
      <protection locked="0"/>
    </xf>
    <xf numFmtId="0" fontId="12" fillId="2" borderId="0" xfId="0" applyFont="1" applyFill="1" applyBorder="1" applyAlignment="1" applyProtection="1">
      <alignment horizontal="left" vertical="top" wrapText="1"/>
      <protection locked="0"/>
    </xf>
    <xf numFmtId="0" fontId="12" fillId="2" borderId="0" xfId="0" applyFont="1" applyFill="1" applyBorder="1" applyAlignment="1" applyProtection="1">
      <alignment vertical="top" wrapText="1"/>
      <protection locked="0"/>
    </xf>
    <xf numFmtId="0" fontId="12" fillId="0" borderId="0" xfId="0" applyFont="1" applyFill="1" applyAlignment="1" applyProtection="1">
      <alignment vertical="top" wrapText="1"/>
      <protection locked="0"/>
    </xf>
    <xf numFmtId="0" fontId="7" fillId="2" borderId="0" xfId="0" applyFont="1" applyFill="1" applyBorder="1" applyAlignment="1" applyProtection="1">
      <alignment vertical="top" wrapText="1"/>
      <protection locked="0"/>
    </xf>
    <xf numFmtId="0" fontId="12" fillId="0" borderId="0" xfId="0" applyFont="1" applyFill="1" applyBorder="1" applyAlignment="1" applyProtection="1">
      <alignment vertical="top" wrapText="1"/>
      <protection locked="0"/>
    </xf>
    <xf numFmtId="0" fontId="17" fillId="2" borderId="0" xfId="0" applyFont="1" applyFill="1" applyBorder="1" applyAlignment="1" applyProtection="1">
      <alignment horizontal="left" vertical="top" wrapText="1"/>
      <protection locked="0"/>
    </xf>
    <xf numFmtId="0" fontId="12" fillId="2" borderId="0" xfId="0" applyFont="1" applyFill="1" applyProtection="1">
      <protection locked="0"/>
    </xf>
    <xf numFmtId="0" fontId="12" fillId="2" borderId="0" xfId="0" applyFont="1" applyFill="1" applyBorder="1" applyProtection="1">
      <protection locked="0"/>
    </xf>
    <xf numFmtId="0" fontId="15" fillId="2" borderId="0" xfId="0" applyFont="1" applyFill="1" applyAlignment="1" applyProtection="1">
      <alignment vertical="top" wrapText="1"/>
      <protection locked="0"/>
    </xf>
    <xf numFmtId="0" fontId="15" fillId="0" borderId="0" xfId="0" applyFont="1" applyAlignment="1" applyProtection="1">
      <alignment vertical="top" wrapText="1"/>
      <protection locked="0"/>
    </xf>
    <xf numFmtId="0" fontId="15" fillId="2" borderId="0" xfId="0" applyFont="1" applyFill="1" applyProtection="1">
      <protection locked="0"/>
    </xf>
    <xf numFmtId="0" fontId="9" fillId="0" borderId="2" xfId="0" applyFont="1" applyBorder="1" applyAlignment="1" applyProtection="1">
      <alignment vertical="top" wrapText="1"/>
      <protection locked="0"/>
    </xf>
    <xf numFmtId="0" fontId="12" fillId="0" borderId="0" xfId="0" applyFont="1" applyBorder="1" applyAlignment="1" applyProtection="1">
      <alignment vertical="top" wrapText="1"/>
      <protection locked="0"/>
    </xf>
    <xf numFmtId="0" fontId="7" fillId="0" borderId="0" xfId="0" applyFont="1" applyFill="1" applyBorder="1" applyAlignment="1" applyProtection="1">
      <alignment horizontal="right" vertical="top" wrapText="1"/>
      <protection locked="0"/>
    </xf>
    <xf numFmtId="2" fontId="6" fillId="0" borderId="0" xfId="0" applyNumberFormat="1" applyFont="1" applyFill="1" applyBorder="1" applyAlignment="1" applyProtection="1">
      <alignment horizontal="right" vertical="top" wrapText="1"/>
    </xf>
    <xf numFmtId="0" fontId="6" fillId="0" borderId="0" xfId="0" applyFont="1" applyFill="1" applyBorder="1" applyAlignment="1" applyProtection="1">
      <alignment horizontal="left" vertical="top" wrapText="1"/>
      <protection locked="0"/>
    </xf>
    <xf numFmtId="0" fontId="18" fillId="0" borderId="0" xfId="0" applyFont="1" applyBorder="1" applyAlignment="1" applyProtection="1">
      <alignment vertical="top" wrapText="1"/>
      <protection locked="0"/>
    </xf>
    <xf numFmtId="0" fontId="18" fillId="2" borderId="0" xfId="0" applyFont="1" applyFill="1" applyBorder="1" applyAlignment="1" applyProtection="1">
      <alignment vertical="top" wrapText="1"/>
      <protection locked="0"/>
    </xf>
    <xf numFmtId="0" fontId="12" fillId="0" borderId="0" xfId="0" applyFont="1" applyBorder="1"/>
    <xf numFmtId="0" fontId="12" fillId="2" borderId="0" xfId="0" applyFont="1" applyFill="1" applyBorder="1" applyAlignment="1" applyProtection="1">
      <alignment horizontal="center" vertical="top" wrapText="1"/>
      <protection locked="0"/>
    </xf>
    <xf numFmtId="0" fontId="12" fillId="0" borderId="0" xfId="0" applyFont="1" applyBorder="1" applyAlignment="1">
      <alignment horizontal="center"/>
    </xf>
    <xf numFmtId="0" fontId="15" fillId="3" borderId="2" xfId="0" applyFont="1" applyFill="1" applyBorder="1" applyAlignment="1" applyProtection="1">
      <alignment horizontal="left" vertical="center" wrapText="1"/>
      <protection locked="0"/>
    </xf>
    <xf numFmtId="0" fontId="15" fillId="2" borderId="0" xfId="0" applyFont="1" applyFill="1" applyBorder="1" applyAlignment="1" applyProtection="1">
      <alignment vertical="top" wrapText="1"/>
      <protection locked="0"/>
    </xf>
    <xf numFmtId="0" fontId="15" fillId="0" borderId="0" xfId="0" applyFont="1" applyBorder="1" applyAlignment="1" applyProtection="1">
      <alignment vertical="top" wrapText="1"/>
      <protection locked="0"/>
    </xf>
    <xf numFmtId="2" fontId="13" fillId="0" borderId="0" xfId="0" applyNumberFormat="1" applyFont="1" applyFill="1" applyBorder="1" applyAlignment="1" applyProtection="1">
      <alignment horizontal="right" vertical="top" wrapText="1"/>
    </xf>
    <xf numFmtId="0" fontId="15" fillId="0" borderId="0" xfId="0" applyFont="1" applyFill="1" applyBorder="1" applyAlignment="1" applyProtection="1">
      <alignment vertical="top" wrapText="1"/>
      <protection locked="0"/>
    </xf>
    <xf numFmtId="0" fontId="12" fillId="2" borderId="0" xfId="0" applyFont="1" applyFill="1" applyBorder="1" applyAlignment="1" applyProtection="1">
      <alignment vertical="center"/>
      <protection locked="0"/>
    </xf>
    <xf numFmtId="0" fontId="12" fillId="0" borderId="0" xfId="0" applyFont="1" applyBorder="1" applyAlignment="1" applyProtection="1">
      <alignment vertical="center"/>
      <protection locked="0"/>
    </xf>
    <xf numFmtId="0" fontId="11" fillId="2" borderId="0" xfId="0" applyFont="1" applyFill="1" applyBorder="1" applyAlignment="1" applyProtection="1">
      <alignment vertical="center"/>
      <protection locked="0"/>
    </xf>
    <xf numFmtId="0" fontId="11" fillId="0" borderId="0" xfId="0" applyFont="1" applyBorder="1" applyAlignment="1" applyProtection="1">
      <alignment vertical="center"/>
      <protection locked="0"/>
    </xf>
    <xf numFmtId="0" fontId="9" fillId="2" borderId="0" xfId="0" applyFont="1" applyFill="1" applyBorder="1" applyAlignment="1" applyProtection="1">
      <alignment vertical="top" wrapText="1"/>
      <protection locked="0"/>
    </xf>
    <xf numFmtId="0" fontId="2" fillId="2" borderId="4" xfId="0" applyFont="1" applyFill="1" applyBorder="1" applyAlignment="1" applyProtection="1">
      <alignment vertical="top" wrapText="1"/>
      <protection locked="0"/>
    </xf>
    <xf numFmtId="2" fontId="13" fillId="4" borderId="2" xfId="0" applyNumberFormat="1" applyFont="1" applyFill="1" applyBorder="1" applyAlignment="1" applyProtection="1">
      <alignment horizontal="right" vertical="top" wrapText="1"/>
    </xf>
    <xf numFmtId="0" fontId="15" fillId="0" borderId="0" xfId="0" applyFont="1" applyBorder="1"/>
    <xf numFmtId="168" fontId="15" fillId="3" borderId="2" xfId="0" applyNumberFormat="1" applyFont="1" applyFill="1" applyBorder="1" applyAlignment="1" applyProtection="1">
      <alignment horizontal="right" vertical="center" wrapText="1"/>
      <protection locked="0"/>
    </xf>
    <xf numFmtId="0" fontId="15" fillId="2" borderId="0" xfId="0" applyFont="1" applyFill="1" applyAlignment="1" applyProtection="1">
      <alignment vertical="center" wrapText="1"/>
      <protection locked="0"/>
    </xf>
    <xf numFmtId="0" fontId="15" fillId="0" borderId="0" xfId="0" applyFont="1" applyAlignment="1" applyProtection="1">
      <alignment vertical="center" wrapText="1"/>
      <protection locked="0"/>
    </xf>
    <xf numFmtId="0" fontId="15" fillId="2" borderId="0" xfId="0" applyFont="1" applyFill="1" applyBorder="1" applyAlignment="1" applyProtection="1">
      <alignment horizontal="left" vertical="top" wrapText="1"/>
      <protection locked="0"/>
    </xf>
    <xf numFmtId="0" fontId="15" fillId="2" borderId="0" xfId="0" applyFont="1" applyFill="1" applyBorder="1" applyAlignment="1" applyProtection="1">
      <alignment horizontal="right" vertical="top" wrapText="1"/>
      <protection locked="0"/>
    </xf>
    <xf numFmtId="0" fontId="15" fillId="0" borderId="0" xfId="0" applyFont="1" applyFill="1" applyAlignment="1" applyProtection="1">
      <alignment vertical="top" wrapText="1"/>
      <protection locked="0"/>
    </xf>
    <xf numFmtId="0" fontId="14" fillId="3" borderId="2" xfId="0" applyFont="1" applyFill="1" applyBorder="1" applyAlignment="1" applyProtection="1">
      <alignment horizontal="center" vertical="center" wrapText="1"/>
      <protection locked="0"/>
    </xf>
    <xf numFmtId="170" fontId="2" fillId="2" borderId="0" xfId="2" quotePrefix="1" applyNumberFormat="1" applyFont="1" applyFill="1" applyBorder="1" applyAlignment="1" applyProtection="1">
      <alignment vertical="top"/>
      <protection locked="0"/>
    </xf>
    <xf numFmtId="15" fontId="2" fillId="2" borderId="0" xfId="0" applyNumberFormat="1" applyFont="1" applyFill="1" applyBorder="1" applyAlignment="1" applyProtection="1">
      <alignment vertical="top" wrapText="1"/>
      <protection locked="0"/>
    </xf>
    <xf numFmtId="2" fontId="15" fillId="2" borderId="0" xfId="0" applyNumberFormat="1" applyFont="1" applyFill="1" applyBorder="1" applyAlignment="1" applyProtection="1">
      <alignment vertical="top" wrapText="1"/>
      <protection locked="0"/>
    </xf>
    <xf numFmtId="0" fontId="15" fillId="2" borderId="0" xfId="0" quotePrefix="1" applyFont="1" applyFill="1" applyBorder="1" applyAlignment="1" applyProtection="1">
      <alignment vertical="top"/>
      <protection locked="0"/>
    </xf>
    <xf numFmtId="169" fontId="15" fillId="3" borderId="2" xfId="1" applyNumberFormat="1" applyFont="1" applyFill="1" applyBorder="1" applyAlignment="1" applyProtection="1">
      <alignment horizontal="right" vertical="top" wrapText="1"/>
      <protection locked="0"/>
    </xf>
    <xf numFmtId="169" fontId="15" fillId="3" borderId="2" xfId="0" applyNumberFormat="1" applyFont="1" applyFill="1" applyBorder="1" applyAlignment="1" applyProtection="1">
      <alignment horizontal="right" vertical="top" wrapText="1"/>
      <protection locked="0"/>
    </xf>
    <xf numFmtId="0" fontId="10" fillId="2" borderId="0" xfId="0" applyFont="1" applyFill="1" applyBorder="1" applyAlignment="1" applyProtection="1">
      <alignment horizontal="left" vertical="top" wrapText="1"/>
      <protection locked="0"/>
    </xf>
    <xf numFmtId="1" fontId="12" fillId="2" borderId="0" xfId="0" applyNumberFormat="1" applyFont="1" applyFill="1" applyAlignment="1" applyProtection="1">
      <alignment vertical="top" wrapText="1"/>
      <protection locked="0"/>
    </xf>
    <xf numFmtId="0" fontId="0" fillId="2" borderId="0" xfId="0" applyFill="1" applyAlignment="1"/>
    <xf numFmtId="0" fontId="0" fillId="0" borderId="0" xfId="0" applyAlignment="1"/>
    <xf numFmtId="0" fontId="12" fillId="2" borderId="0" xfId="0" applyFont="1" applyFill="1" applyAlignment="1"/>
    <xf numFmtId="0" fontId="12" fillId="0" borderId="0" xfId="0" applyFont="1" applyAlignment="1"/>
    <xf numFmtId="0" fontId="2" fillId="2" borderId="0" xfId="0" applyFont="1" applyFill="1" applyAlignment="1">
      <alignment vertical="top" wrapText="1"/>
    </xf>
    <xf numFmtId="0" fontId="14" fillId="3" borderId="5" xfId="0" applyFont="1" applyFill="1" applyBorder="1" applyAlignment="1" applyProtection="1">
      <alignment horizontal="center" vertical="center" wrapText="1"/>
      <protection locked="0"/>
    </xf>
    <xf numFmtId="0" fontId="12" fillId="2" borderId="0" xfId="0" applyFont="1" applyFill="1" applyBorder="1" applyAlignment="1" applyProtection="1">
      <alignment vertical="center" wrapText="1"/>
      <protection locked="0"/>
    </xf>
    <xf numFmtId="0" fontId="18" fillId="2" borderId="0" xfId="0" applyFont="1" applyFill="1" applyBorder="1" applyAlignment="1" applyProtection="1">
      <alignment vertical="center" wrapText="1"/>
      <protection locked="0"/>
    </xf>
    <xf numFmtId="0" fontId="15" fillId="2" borderId="0" xfId="0" applyFont="1" applyFill="1" applyBorder="1" applyAlignment="1" applyProtection="1">
      <alignment horizontal="center" vertical="top" wrapText="1"/>
      <protection locked="0"/>
    </xf>
    <xf numFmtId="0" fontId="12" fillId="2" borderId="0" xfId="0" quotePrefix="1" applyFont="1" applyFill="1" applyAlignment="1" applyProtection="1">
      <alignment vertical="top" wrapText="1"/>
      <protection locked="0"/>
    </xf>
    <xf numFmtId="1" fontId="10" fillId="4" borderId="2" xfId="0" applyNumberFormat="1" applyFont="1" applyFill="1" applyBorder="1" applyAlignment="1" applyProtection="1">
      <alignment horizontal="right" vertical="top" wrapText="1"/>
    </xf>
    <xf numFmtId="0" fontId="15" fillId="2" borderId="0" xfId="0" applyFont="1" applyFill="1" applyAlignment="1" applyProtection="1">
      <alignment horizontal="right" vertical="top" wrapText="1"/>
      <protection locked="0"/>
    </xf>
    <xf numFmtId="168" fontId="15" fillId="2" borderId="0" xfId="0" applyNumberFormat="1" applyFont="1" applyFill="1" applyBorder="1" applyAlignment="1" applyProtection="1">
      <alignment horizontal="right" vertical="top" wrapText="1"/>
      <protection locked="0"/>
    </xf>
    <xf numFmtId="0" fontId="18" fillId="2" borderId="0" xfId="0" applyFont="1" applyFill="1" applyBorder="1" applyAlignment="1" applyProtection="1">
      <alignment vertical="center"/>
    </xf>
    <xf numFmtId="0" fontId="10" fillId="5" borderId="2" xfId="0" applyFont="1" applyFill="1" applyBorder="1" applyAlignment="1" applyProtection="1">
      <alignment horizontal="center" vertical="center" wrapText="1"/>
    </xf>
    <xf numFmtId="0" fontId="10" fillId="5" borderId="6" xfId="0" applyFont="1" applyFill="1" applyBorder="1" applyAlignment="1" applyProtection="1">
      <alignment horizontal="center" vertical="center" wrapText="1"/>
    </xf>
    <xf numFmtId="0" fontId="15" fillId="2" borderId="0" xfId="0" applyFont="1" applyFill="1" applyBorder="1" applyAlignment="1" applyProtection="1">
      <alignment vertical="center"/>
    </xf>
    <xf numFmtId="0" fontId="11" fillId="0" borderId="0" xfId="0" applyFont="1" applyBorder="1" applyAlignment="1" applyProtection="1">
      <alignment vertical="center"/>
    </xf>
    <xf numFmtId="0" fontId="14" fillId="2" borderId="0" xfId="0" applyFont="1" applyFill="1" applyBorder="1" applyAlignment="1" applyProtection="1">
      <alignment horizontal="center" vertical="center"/>
    </xf>
    <xf numFmtId="0" fontId="12" fillId="2" borderId="0" xfId="0" applyFont="1" applyFill="1" applyBorder="1" applyAlignment="1" applyProtection="1">
      <alignment vertical="center"/>
    </xf>
    <xf numFmtId="0" fontId="15" fillId="0" borderId="0" xfId="0" applyFont="1"/>
    <xf numFmtId="0" fontId="15" fillId="0" borderId="0" xfId="0" applyFont="1" applyAlignment="1">
      <alignment vertical="top" wrapText="1"/>
    </xf>
    <xf numFmtId="0" fontId="7" fillId="5" borderId="2" xfId="0" applyFont="1" applyFill="1" applyBorder="1" applyAlignment="1" applyProtection="1">
      <alignment horizontal="center" vertical="top" wrapText="1"/>
    </xf>
    <xf numFmtId="0" fontId="10" fillId="5" borderId="2" xfId="0" applyFont="1" applyFill="1" applyBorder="1" applyAlignment="1" applyProtection="1">
      <alignment horizontal="center" vertical="top" wrapText="1"/>
    </xf>
    <xf numFmtId="0" fontId="10" fillId="5" borderId="2" xfId="0" applyFont="1" applyFill="1" applyBorder="1" applyAlignment="1" applyProtection="1">
      <alignment vertical="top" wrapText="1"/>
    </xf>
    <xf numFmtId="0" fontId="19" fillId="5" borderId="2" xfId="3" applyFont="1" applyFill="1" applyBorder="1" applyAlignment="1" applyProtection="1">
      <alignment horizontal="left" vertical="top" wrapText="1"/>
    </xf>
    <xf numFmtId="0" fontId="10" fillId="5" borderId="2" xfId="0" applyFont="1" applyFill="1" applyBorder="1" applyAlignment="1" applyProtection="1">
      <alignment horizontal="left" vertical="top" wrapText="1"/>
    </xf>
    <xf numFmtId="0" fontId="13" fillId="0" borderId="0" xfId="0" applyFont="1" applyFill="1" applyBorder="1" applyAlignment="1" applyProtection="1">
      <alignment horizontal="right" vertical="top" wrapText="1"/>
    </xf>
    <xf numFmtId="2" fontId="13" fillId="4" borderId="2" xfId="0" applyNumberFormat="1" applyFont="1" applyFill="1" applyBorder="1" applyAlignment="1" applyProtection="1">
      <alignment vertical="top" wrapText="1"/>
    </xf>
    <xf numFmtId="0" fontId="13" fillId="5" borderId="2" xfId="0" applyFont="1" applyFill="1" applyBorder="1" applyAlignment="1" applyProtection="1">
      <alignment horizontal="center" vertical="top" wrapText="1"/>
    </xf>
    <xf numFmtId="0" fontId="10" fillId="5" borderId="2" xfId="0" applyFont="1" applyFill="1" applyBorder="1" applyAlignment="1" applyProtection="1">
      <alignment horizontal="right" vertical="top" wrapText="1"/>
    </xf>
    <xf numFmtId="0" fontId="13" fillId="5" borderId="2" xfId="0" applyFont="1" applyFill="1" applyBorder="1" applyAlignment="1" applyProtection="1">
      <alignment horizontal="right" vertical="top" wrapText="1"/>
    </xf>
    <xf numFmtId="0" fontId="10" fillId="5" borderId="2" xfId="0" applyFont="1" applyFill="1" applyBorder="1" applyAlignment="1" applyProtection="1">
      <alignment horizontal="center"/>
    </xf>
    <xf numFmtId="2" fontId="13" fillId="5" borderId="2" xfId="0" applyNumberFormat="1" applyFont="1" applyFill="1" applyBorder="1" applyAlignment="1" applyProtection="1">
      <alignment horizontal="right" vertical="center" wrapText="1"/>
    </xf>
    <xf numFmtId="0" fontId="18" fillId="0" borderId="0" xfId="0" applyFont="1" applyFill="1" applyBorder="1" applyAlignment="1" applyProtection="1">
      <alignment vertical="top" wrapText="1"/>
      <protection locked="0"/>
    </xf>
    <xf numFmtId="0" fontId="22" fillId="2" borderId="0" xfId="0" applyFont="1" applyFill="1" applyBorder="1" applyAlignment="1" applyProtection="1">
      <alignment vertical="top" wrapText="1"/>
      <protection locked="0"/>
    </xf>
    <xf numFmtId="0" fontId="15" fillId="3" borderId="2" xfId="0" applyFont="1" applyFill="1" applyBorder="1" applyAlignment="1" applyProtection="1">
      <alignment horizontal="right" vertical="top" wrapText="1"/>
      <protection locked="0"/>
    </xf>
    <xf numFmtId="0" fontId="10" fillId="5" borderId="2" xfId="0" applyFont="1" applyFill="1" applyBorder="1" applyAlignment="1" applyProtection="1">
      <alignment horizontal="right" vertical="center"/>
    </xf>
    <xf numFmtId="0" fontId="14" fillId="2" borderId="0" xfId="0" applyFont="1" applyFill="1" applyBorder="1" applyAlignment="1" applyProtection="1">
      <alignment horizontal="center" vertical="center"/>
      <protection locked="0"/>
    </xf>
    <xf numFmtId="2" fontId="13" fillId="4" borderId="2" xfId="4" applyNumberFormat="1" applyFont="1" applyFill="1" applyBorder="1" applyAlignment="1" applyProtection="1">
      <alignment horizontal="right" vertical="top" wrapText="1"/>
    </xf>
    <xf numFmtId="169" fontId="13" fillId="4" borderId="2" xfId="4" applyNumberFormat="1" applyFont="1" applyFill="1" applyBorder="1" applyAlignment="1" applyProtection="1">
      <alignment horizontal="right" vertical="top" wrapText="1"/>
    </xf>
    <xf numFmtId="169" fontId="13" fillId="4" borderId="2" xfId="4" applyNumberFormat="1" applyFont="1" applyFill="1" applyBorder="1" applyAlignment="1" applyProtection="1">
      <alignment vertical="top" wrapText="1"/>
    </xf>
    <xf numFmtId="169" fontId="15" fillId="2" borderId="0" xfId="0" applyNumberFormat="1" applyFont="1" applyFill="1" applyBorder="1" applyAlignment="1" applyProtection="1">
      <alignment vertical="top" wrapText="1"/>
      <protection locked="0"/>
    </xf>
    <xf numFmtId="15" fontId="14" fillId="6" borderId="2" xfId="0" applyNumberFormat="1" applyFont="1" applyFill="1" applyBorder="1" applyAlignment="1" applyProtection="1">
      <alignment horizontal="center" vertical="center" wrapText="1"/>
      <protection locked="0"/>
    </xf>
    <xf numFmtId="169" fontId="15" fillId="3" borderId="6" xfId="0" applyNumberFormat="1" applyFont="1" applyFill="1" applyBorder="1" applyAlignment="1" applyProtection="1">
      <alignment horizontal="right" vertical="center" wrapText="1"/>
      <protection locked="0"/>
    </xf>
    <xf numFmtId="168" fontId="11" fillId="7" borderId="2" xfId="0" applyNumberFormat="1" applyFont="1" applyFill="1" applyBorder="1" applyAlignment="1" applyProtection="1">
      <alignment horizontal="right" vertical="top" wrapText="1"/>
      <protection locked="0"/>
    </xf>
    <xf numFmtId="0" fontId="12" fillId="0" borderId="0" xfId="0" applyFont="1" applyBorder="1" applyAlignment="1">
      <alignment horizontal="left" vertical="top"/>
    </xf>
    <xf numFmtId="0" fontId="23" fillId="2" borderId="0" xfId="0" applyFont="1" applyFill="1" applyBorder="1" applyAlignment="1" applyProtection="1">
      <alignment horizontal="left" vertical="top" wrapText="1"/>
    </xf>
    <xf numFmtId="0" fontId="12" fillId="2" borderId="0" xfId="0" applyFont="1" applyFill="1" applyBorder="1" applyAlignment="1" applyProtection="1">
      <alignment horizontal="left" wrapText="1"/>
    </xf>
    <xf numFmtId="0" fontId="15" fillId="0" borderId="0" xfId="0" applyFont="1" applyBorder="1" applyAlignment="1">
      <alignment horizontal="left" vertical="top" wrapText="1"/>
    </xf>
    <xf numFmtId="0" fontId="26" fillId="0" borderId="0" xfId="0" applyFont="1" applyFill="1" applyBorder="1" applyAlignment="1">
      <alignment horizontal="left" vertical="top" wrapText="1"/>
    </xf>
    <xf numFmtId="0" fontId="15" fillId="2" borderId="0" xfId="0" applyFont="1" applyFill="1" applyAlignment="1">
      <alignment vertical="top" wrapText="1"/>
    </xf>
    <xf numFmtId="0" fontId="27" fillId="8" borderId="7" xfId="0" applyFont="1" applyFill="1" applyBorder="1" applyAlignment="1">
      <alignment vertical="top" wrapText="1"/>
    </xf>
    <xf numFmtId="0" fontId="27" fillId="8" borderId="8" xfId="0" applyFont="1" applyFill="1" applyBorder="1" applyAlignment="1">
      <alignment vertical="top" wrapText="1"/>
    </xf>
    <xf numFmtId="0" fontId="29" fillId="0" borderId="9" xfId="0" applyFont="1" applyBorder="1" applyAlignment="1">
      <alignment vertical="top" wrapText="1"/>
    </xf>
    <xf numFmtId="0" fontId="28" fillId="0" borderId="9" xfId="0" applyFont="1" applyBorder="1" applyAlignment="1">
      <alignment vertical="top" wrapText="1"/>
    </xf>
    <xf numFmtId="0" fontId="28" fillId="0" borderId="9" xfId="0" applyFont="1" applyFill="1" applyBorder="1" applyAlignment="1">
      <alignment vertical="top" wrapText="1"/>
    </xf>
    <xf numFmtId="0" fontId="28" fillId="0" borderId="10" xfId="0" applyFont="1" applyBorder="1" applyAlignment="1">
      <alignment vertical="top" wrapText="1"/>
    </xf>
    <xf numFmtId="0" fontId="28" fillId="0" borderId="11" xfId="0" applyFont="1" applyBorder="1" applyAlignment="1">
      <alignment vertical="top" wrapText="1"/>
    </xf>
    <xf numFmtId="0" fontId="28" fillId="0" borderId="12" xfId="0" applyFont="1" applyBorder="1" applyAlignment="1">
      <alignment vertical="top" wrapText="1"/>
    </xf>
    <xf numFmtId="0" fontId="28" fillId="0" borderId="12" xfId="0" applyFont="1" applyFill="1" applyBorder="1" applyAlignment="1">
      <alignment vertical="top" wrapText="1"/>
    </xf>
    <xf numFmtId="0" fontId="28" fillId="0" borderId="0" xfId="0" applyFont="1" applyAlignment="1">
      <alignment vertical="top" wrapText="1"/>
    </xf>
    <xf numFmtId="0" fontId="27" fillId="8" borderId="7" xfId="0" applyFont="1" applyFill="1" applyBorder="1" applyAlignment="1">
      <alignment horizontal="center" vertical="top" textRotation="90" wrapText="1"/>
    </xf>
    <xf numFmtId="0" fontId="15" fillId="0" borderId="1" xfId="0" applyFont="1" applyBorder="1" applyAlignment="1">
      <alignment vertical="top" wrapText="1"/>
    </xf>
    <xf numFmtId="0" fontId="27" fillId="8" borderId="13" xfId="0" applyFont="1" applyFill="1" applyBorder="1" applyAlignment="1">
      <alignment vertical="top" wrapText="1"/>
    </xf>
    <xf numFmtId="0" fontId="10" fillId="5" borderId="14" xfId="0" applyFont="1" applyFill="1" applyBorder="1" applyAlignment="1" applyProtection="1">
      <alignment horizontal="center" vertical="center" wrapText="1"/>
    </xf>
    <xf numFmtId="0" fontId="10" fillId="5" borderId="15" xfId="0" applyFont="1" applyFill="1" applyBorder="1" applyAlignment="1" applyProtection="1">
      <alignment horizontal="center" vertical="center" wrapText="1"/>
    </xf>
    <xf numFmtId="0" fontId="10" fillId="5" borderId="16" xfId="0" applyFont="1" applyFill="1" applyBorder="1" applyAlignment="1" applyProtection="1">
      <alignment horizontal="center" vertical="top" wrapText="1"/>
    </xf>
    <xf numFmtId="0" fontId="7" fillId="4" borderId="2" xfId="0" applyFont="1" applyFill="1" applyBorder="1" applyAlignment="1" applyProtection="1">
      <alignment horizontal="center" vertical="top" wrapText="1"/>
    </xf>
    <xf numFmtId="0" fontId="7" fillId="5" borderId="17" xfId="0" applyFont="1" applyFill="1" applyBorder="1" applyAlignment="1" applyProtection="1">
      <alignment horizontal="center" vertical="center" wrapText="1"/>
    </xf>
    <xf numFmtId="0" fontId="7" fillId="5" borderId="14" xfId="0" applyFont="1" applyFill="1" applyBorder="1" applyAlignment="1" applyProtection="1">
      <alignment horizontal="center" vertical="center" wrapText="1"/>
    </xf>
    <xf numFmtId="0" fontId="7" fillId="5" borderId="15" xfId="0" applyFont="1" applyFill="1" applyBorder="1" applyAlignment="1" applyProtection="1">
      <alignment horizontal="center" vertical="center" wrapText="1"/>
    </xf>
    <xf numFmtId="0" fontId="13" fillId="5" borderId="18" xfId="0" applyFont="1" applyFill="1" applyBorder="1" applyAlignment="1" applyProtection="1">
      <alignment horizontal="right" vertical="center" wrapText="1"/>
    </xf>
    <xf numFmtId="0" fontId="13" fillId="5" borderId="19" xfId="0" applyFont="1" applyFill="1" applyBorder="1" applyAlignment="1" applyProtection="1">
      <alignment horizontal="right" vertical="center" wrapText="1"/>
      <protection locked="0"/>
    </xf>
    <xf numFmtId="0" fontId="17" fillId="5" borderId="15" xfId="0" applyFont="1" applyFill="1" applyBorder="1" applyAlignment="1" applyProtection="1">
      <alignment horizontal="left" vertical="top" wrapText="1"/>
    </xf>
    <xf numFmtId="0" fontId="7" fillId="5" borderId="18" xfId="0" applyFont="1" applyFill="1" applyBorder="1" applyAlignment="1" applyProtection="1">
      <alignment horizontal="right" vertical="center" wrapText="1"/>
    </xf>
    <xf numFmtId="15" fontId="15" fillId="7" borderId="20" xfId="0" applyNumberFormat="1" applyFont="1" applyFill="1" applyBorder="1" applyAlignment="1" applyProtection="1">
      <alignment horizontal="center" vertical="center" wrapText="1"/>
      <protection locked="0"/>
    </xf>
    <xf numFmtId="0" fontId="15" fillId="3" borderId="20" xfId="0" applyFont="1" applyFill="1" applyBorder="1" applyAlignment="1" applyProtection="1">
      <alignment horizontal="left" vertical="center" wrapText="1"/>
      <protection locked="0"/>
    </xf>
    <xf numFmtId="0" fontId="13" fillId="5" borderId="19" xfId="0" applyFont="1" applyFill="1" applyBorder="1" applyAlignment="1" applyProtection="1">
      <alignment horizontal="right" vertical="center" wrapText="1"/>
    </xf>
    <xf numFmtId="0" fontId="15" fillId="3" borderId="21" xfId="0" applyFont="1" applyFill="1" applyBorder="1" applyAlignment="1" applyProtection="1">
      <alignment horizontal="left" vertical="center" wrapText="1"/>
      <protection locked="0"/>
    </xf>
    <xf numFmtId="0" fontId="15" fillId="3" borderId="22" xfId="0" applyFont="1" applyFill="1" applyBorder="1" applyAlignment="1" applyProtection="1">
      <alignment horizontal="left" vertical="center" wrapText="1"/>
      <protection locked="0"/>
    </xf>
    <xf numFmtId="0" fontId="10" fillId="5" borderId="20" xfId="0" applyFont="1" applyFill="1" applyBorder="1" applyAlignment="1" applyProtection="1">
      <alignment horizontal="center" vertical="center" wrapText="1"/>
    </xf>
    <xf numFmtId="169" fontId="15" fillId="3" borderId="20" xfId="0" applyNumberFormat="1" applyFont="1" applyFill="1" applyBorder="1" applyAlignment="1" applyProtection="1">
      <alignment horizontal="right" vertical="center" wrapText="1"/>
      <protection locked="0"/>
    </xf>
    <xf numFmtId="0" fontId="10" fillId="4" borderId="21" xfId="0" applyFont="1" applyFill="1" applyBorder="1" applyAlignment="1" applyProtection="1">
      <alignment horizontal="center" vertical="center" wrapText="1"/>
    </xf>
    <xf numFmtId="169" fontId="15" fillId="3" borderId="22" xfId="0" applyNumberFormat="1" applyFont="1" applyFill="1" applyBorder="1" applyAlignment="1" applyProtection="1">
      <alignment horizontal="right" vertical="center" wrapText="1"/>
      <protection locked="0"/>
    </xf>
    <xf numFmtId="0" fontId="10" fillId="5" borderId="18" xfId="0" applyFont="1" applyFill="1" applyBorder="1" applyAlignment="1" applyProtection="1">
      <alignment horizontal="right" vertical="center"/>
    </xf>
    <xf numFmtId="0" fontId="15" fillId="2" borderId="23" xfId="0" applyFont="1" applyFill="1" applyBorder="1" applyAlignment="1" applyProtection="1">
      <alignment vertical="center"/>
      <protection locked="0"/>
    </xf>
    <xf numFmtId="0" fontId="17" fillId="5" borderId="17" xfId="0" applyFont="1" applyFill="1" applyBorder="1" applyAlignment="1" applyProtection="1">
      <alignment horizontal="left" vertical="top" wrapText="1"/>
    </xf>
    <xf numFmtId="0" fontId="17" fillId="5" borderId="14" xfId="0" applyFont="1" applyFill="1" applyBorder="1" applyAlignment="1" applyProtection="1">
      <alignment horizontal="left" vertical="top" wrapText="1"/>
    </xf>
    <xf numFmtId="0" fontId="2" fillId="5" borderId="18" xfId="0" applyFont="1" applyFill="1" applyBorder="1" applyAlignment="1" applyProtection="1">
      <alignment vertical="top" wrapText="1"/>
    </xf>
    <xf numFmtId="0" fontId="10" fillId="5" borderId="20" xfId="0" applyFont="1" applyFill="1" applyBorder="1" applyAlignment="1" applyProtection="1">
      <alignment horizontal="center" vertical="top" wrapText="1"/>
    </xf>
    <xf numFmtId="0" fontId="10" fillId="5" borderId="19" xfId="0" applyFont="1" applyFill="1" applyBorder="1" applyAlignment="1" applyProtection="1">
      <alignment horizontal="right" vertical="top" wrapText="1"/>
    </xf>
    <xf numFmtId="1" fontId="13" fillId="4" borderId="21" xfId="0" applyNumberFormat="1" applyFont="1" applyFill="1" applyBorder="1" applyAlignment="1" applyProtection="1">
      <alignment horizontal="center" vertical="top" wrapText="1"/>
    </xf>
    <xf numFmtId="1" fontId="13" fillId="4" borderId="22" xfId="0" applyNumberFormat="1" applyFont="1" applyFill="1" applyBorder="1" applyAlignment="1" applyProtection="1">
      <alignment horizontal="center" vertical="top" wrapText="1"/>
    </xf>
    <xf numFmtId="0" fontId="10" fillId="5" borderId="17" xfId="0" applyFont="1" applyFill="1" applyBorder="1" applyAlignment="1" applyProtection="1">
      <alignment horizontal="center" vertical="center" wrapText="1"/>
    </xf>
    <xf numFmtId="0" fontId="10" fillId="5" borderId="14" xfId="0" applyFont="1" applyFill="1" applyBorder="1" applyAlignment="1" applyProtection="1">
      <alignment horizontal="center" vertical="top" wrapText="1"/>
    </xf>
    <xf numFmtId="0" fontId="10" fillId="5" borderId="15" xfId="0" applyFont="1" applyFill="1" applyBorder="1" applyAlignment="1" applyProtection="1">
      <alignment horizontal="center" vertical="top" wrapText="1"/>
    </xf>
    <xf numFmtId="0" fontId="13" fillId="5" borderId="18" xfId="0" applyFont="1" applyFill="1" applyBorder="1" applyAlignment="1" applyProtection="1">
      <alignment horizontal="right" vertical="top" wrapText="1"/>
    </xf>
    <xf numFmtId="0" fontId="15" fillId="3" borderId="20" xfId="0" applyFont="1" applyFill="1" applyBorder="1" applyAlignment="1" applyProtection="1">
      <alignment horizontal="left" vertical="top" wrapText="1"/>
      <protection locked="0"/>
    </xf>
    <xf numFmtId="0" fontId="6" fillId="5" borderId="18" xfId="0" applyFont="1" applyFill="1" applyBorder="1" applyAlignment="1" applyProtection="1">
      <alignment horizontal="right" vertical="top" wrapText="1"/>
    </xf>
    <xf numFmtId="169" fontId="10" fillId="4" borderId="21" xfId="0" applyNumberFormat="1" applyFont="1" applyFill="1" applyBorder="1" applyAlignment="1" applyProtection="1">
      <alignment horizontal="right" vertical="top" wrapText="1"/>
    </xf>
    <xf numFmtId="2" fontId="10" fillId="4" borderId="21" xfId="4" applyNumberFormat="1" applyFont="1" applyFill="1" applyBorder="1" applyAlignment="1" applyProtection="1">
      <alignment horizontal="right" vertical="top" wrapText="1"/>
    </xf>
    <xf numFmtId="0" fontId="7" fillId="4" borderId="21" xfId="0" applyFont="1" applyFill="1" applyBorder="1" applyAlignment="1" applyProtection="1">
      <alignment horizontal="center" vertical="top" wrapText="1"/>
    </xf>
    <xf numFmtId="0" fontId="15" fillId="3" borderId="22" xfId="0" applyFont="1" applyFill="1" applyBorder="1" applyAlignment="1" applyProtection="1">
      <alignment horizontal="left" vertical="top" wrapText="1"/>
      <protection locked="0"/>
    </xf>
    <xf numFmtId="0" fontId="13" fillId="5" borderId="17" xfId="0" applyFont="1" applyFill="1" applyBorder="1" applyAlignment="1" applyProtection="1">
      <alignment horizontal="right" vertical="center" wrapText="1"/>
    </xf>
    <xf numFmtId="0" fontId="10" fillId="5" borderId="18" xfId="0" applyFont="1" applyFill="1" applyBorder="1" applyAlignment="1" applyProtection="1">
      <alignment horizontal="right" vertical="center" wrapText="1"/>
    </xf>
    <xf numFmtId="169" fontId="10" fillId="4" borderId="20" xfId="4" applyNumberFormat="1" applyFont="1" applyFill="1" applyBorder="1" applyAlignment="1" applyProtection="1">
      <alignment horizontal="right" vertical="center" wrapText="1"/>
    </xf>
    <xf numFmtId="0" fontId="10" fillId="5" borderId="18" xfId="0" applyFont="1" applyFill="1" applyBorder="1" applyAlignment="1" applyProtection="1">
      <alignment horizontal="right" vertical="top" wrapText="1"/>
    </xf>
    <xf numFmtId="0" fontId="10" fillId="5" borderId="18" xfId="0" applyFont="1" applyFill="1" applyBorder="1" applyAlignment="1" applyProtection="1">
      <alignment horizontal="center" vertical="top" wrapText="1"/>
    </xf>
    <xf numFmtId="169" fontId="15" fillId="7" borderId="20" xfId="1" applyNumberFormat="1" applyFont="1" applyFill="1" applyBorder="1" applyAlignment="1" applyProtection="1">
      <alignment horizontal="right" vertical="top" wrapText="1"/>
      <protection locked="0"/>
    </xf>
    <xf numFmtId="0" fontId="2" fillId="9" borderId="2" xfId="0" applyFont="1" applyFill="1" applyBorder="1" applyAlignment="1" applyProtection="1">
      <alignment vertical="top" wrapText="1"/>
      <protection locked="0"/>
    </xf>
    <xf numFmtId="0" fontId="2" fillId="9" borderId="20" xfId="0" applyFont="1" applyFill="1" applyBorder="1" applyAlignment="1" applyProtection="1">
      <alignment vertical="top" wrapText="1"/>
      <protection locked="0"/>
    </xf>
    <xf numFmtId="0" fontId="10" fillId="5" borderId="24" xfId="0" applyFont="1" applyFill="1" applyBorder="1" applyAlignment="1" applyProtection="1">
      <alignment horizontal="right" vertical="top" wrapText="1"/>
    </xf>
    <xf numFmtId="169" fontId="10" fillId="4" borderId="16" xfId="4" applyNumberFormat="1" applyFont="1" applyFill="1" applyBorder="1" applyAlignment="1" applyProtection="1">
      <alignment horizontal="right" vertical="top" wrapText="1"/>
    </xf>
    <xf numFmtId="2" fontId="15" fillId="7" borderId="22" xfId="0" applyNumberFormat="1" applyFont="1" applyFill="1" applyBorder="1" applyAlignment="1" applyProtection="1">
      <alignment horizontal="right" vertical="top" wrapText="1"/>
      <protection locked="0"/>
    </xf>
    <xf numFmtId="2" fontId="15" fillId="7" borderId="25" xfId="0" applyNumberFormat="1" applyFont="1" applyFill="1" applyBorder="1" applyAlignment="1" applyProtection="1">
      <alignment horizontal="right" vertical="top" wrapText="1"/>
      <protection locked="0"/>
    </xf>
    <xf numFmtId="0" fontId="13" fillId="5" borderId="19" xfId="0" applyFont="1" applyFill="1" applyBorder="1" applyAlignment="1" applyProtection="1">
      <alignment horizontal="right" vertical="top" wrapText="1"/>
    </xf>
    <xf numFmtId="2" fontId="6" fillId="5" borderId="26" xfId="0" applyNumberFormat="1" applyFont="1" applyFill="1" applyBorder="1" applyAlignment="1" applyProtection="1">
      <alignment horizontal="right" vertical="center" wrapText="1"/>
    </xf>
    <xf numFmtId="2" fontId="6" fillId="5" borderId="27" xfId="0" applyNumberFormat="1" applyFont="1" applyFill="1" applyBorder="1" applyAlignment="1" applyProtection="1">
      <alignment horizontal="right" vertical="center" wrapText="1"/>
    </xf>
    <xf numFmtId="0" fontId="19" fillId="5" borderId="14" xfId="3" applyFont="1" applyFill="1" applyBorder="1" applyAlignment="1" applyProtection="1">
      <alignment horizontal="center" vertical="top" wrapText="1"/>
    </xf>
    <xf numFmtId="2" fontId="13" fillId="4" borderId="21" xfId="4" applyNumberFormat="1" applyFont="1" applyFill="1" applyBorder="1" applyAlignment="1" applyProtection="1">
      <alignment horizontal="right" vertical="top" wrapText="1"/>
    </xf>
    <xf numFmtId="0" fontId="19" fillId="5" borderId="14" xfId="3" applyFont="1" applyFill="1" applyBorder="1" applyAlignment="1" applyProtection="1">
      <alignment horizontal="center" vertical="center" wrapText="1"/>
    </xf>
    <xf numFmtId="0" fontId="2" fillId="2" borderId="0" xfId="0" applyFont="1" applyFill="1" applyBorder="1" applyAlignment="1" applyProtection="1">
      <alignment vertical="center" wrapText="1"/>
      <protection locked="0"/>
    </xf>
    <xf numFmtId="0" fontId="2" fillId="0" borderId="2" xfId="0" applyFont="1" applyBorder="1" applyAlignment="1" applyProtection="1">
      <alignment vertical="center" wrapText="1"/>
      <protection locked="0"/>
    </xf>
    <xf numFmtId="168" fontId="15" fillId="3" borderId="6" xfId="0" applyNumberFormat="1" applyFont="1" applyFill="1" applyBorder="1" applyAlignment="1" applyProtection="1">
      <alignment horizontal="right" vertical="center" wrapText="1"/>
      <protection locked="0"/>
    </xf>
    <xf numFmtId="0" fontId="10" fillId="5" borderId="28" xfId="0" applyFont="1" applyFill="1" applyBorder="1" applyAlignment="1" applyProtection="1">
      <alignment horizontal="center" vertical="top" wrapText="1"/>
    </xf>
    <xf numFmtId="0" fontId="19" fillId="5" borderId="16" xfId="3" applyFont="1" applyFill="1" applyBorder="1" applyAlignment="1" applyProtection="1">
      <alignment horizontal="left" vertical="top" wrapText="1"/>
    </xf>
    <xf numFmtId="1" fontId="13" fillId="4" borderId="29" xfId="0" applyNumberFormat="1" applyFont="1" applyFill="1" applyBorder="1" applyAlignment="1" applyProtection="1">
      <alignment horizontal="right" vertical="center" wrapText="1"/>
    </xf>
    <xf numFmtId="1" fontId="13" fillId="4" borderId="2" xfId="0" applyNumberFormat="1" applyFont="1" applyFill="1" applyBorder="1" applyAlignment="1" applyProtection="1">
      <alignment horizontal="right" vertical="center" wrapText="1"/>
    </xf>
    <xf numFmtId="0" fontId="13" fillId="5" borderId="18" xfId="0" applyFont="1" applyFill="1" applyBorder="1" applyAlignment="1" applyProtection="1">
      <alignment horizontal="right"/>
    </xf>
    <xf numFmtId="0" fontId="13" fillId="5" borderId="19" xfId="0" applyFont="1" applyFill="1" applyBorder="1" applyAlignment="1" applyProtection="1">
      <alignment horizontal="right"/>
    </xf>
    <xf numFmtId="169" fontId="13" fillId="4" borderId="21" xfId="4" applyNumberFormat="1" applyFont="1" applyFill="1" applyBorder="1" applyAlignment="1" applyProtection="1">
      <alignment horizontal="right"/>
    </xf>
    <xf numFmtId="169" fontId="13" fillId="4" borderId="22" xfId="4" applyNumberFormat="1" applyFont="1" applyFill="1" applyBorder="1" applyAlignment="1" applyProtection="1">
      <alignment horizontal="right"/>
    </xf>
    <xf numFmtId="0" fontId="10" fillId="5" borderId="17" xfId="0" applyFont="1" applyFill="1" applyBorder="1" applyAlignment="1" applyProtection="1">
      <alignment horizontal="center"/>
    </xf>
    <xf numFmtId="0" fontId="10" fillId="5" borderId="18" xfId="0" applyFont="1" applyFill="1" applyBorder="1" applyAlignment="1" applyProtection="1">
      <alignment horizontal="right"/>
    </xf>
    <xf numFmtId="0" fontId="10" fillId="5" borderId="18" xfId="0" applyFont="1" applyFill="1" applyBorder="1" applyAlignment="1" applyProtection="1">
      <alignment vertical="top" wrapText="1"/>
    </xf>
    <xf numFmtId="169" fontId="13" fillId="4" borderId="20" xfId="4" applyNumberFormat="1" applyFont="1" applyFill="1" applyBorder="1" applyAlignment="1" applyProtection="1">
      <alignment horizontal="right" vertical="top" wrapText="1"/>
    </xf>
    <xf numFmtId="1" fontId="13" fillId="4" borderId="21" xfId="0" applyNumberFormat="1" applyFont="1" applyFill="1" applyBorder="1" applyAlignment="1" applyProtection="1">
      <alignment horizontal="right"/>
    </xf>
    <xf numFmtId="1" fontId="10" fillId="4" borderId="21" xfId="0" applyNumberFormat="1" applyFont="1" applyFill="1" applyBorder="1" applyAlignment="1" applyProtection="1">
      <alignment horizontal="right" vertical="top" wrapText="1"/>
    </xf>
    <xf numFmtId="169" fontId="13" fillId="4" borderId="22" xfId="4" applyNumberFormat="1" applyFont="1" applyFill="1" applyBorder="1" applyAlignment="1" applyProtection="1">
      <alignment horizontal="right" vertical="top" wrapText="1"/>
    </xf>
    <xf numFmtId="0" fontId="10" fillId="5" borderId="18" xfId="0" applyFont="1" applyFill="1" applyBorder="1" applyAlignment="1" applyProtection="1">
      <alignment horizontal="center" vertical="center" wrapText="1"/>
    </xf>
    <xf numFmtId="0" fontId="10" fillId="5" borderId="20" xfId="0" applyFont="1" applyFill="1" applyBorder="1" applyAlignment="1" applyProtection="1">
      <alignment horizontal="left" vertical="top" wrapText="1"/>
    </xf>
    <xf numFmtId="169" fontId="13" fillId="4" borderId="21" xfId="4" applyNumberFormat="1" applyFont="1" applyFill="1" applyBorder="1" applyAlignment="1" applyProtection="1">
      <alignment horizontal="right" vertical="top" wrapText="1"/>
    </xf>
    <xf numFmtId="0" fontId="10" fillId="5" borderId="30" xfId="0" applyFont="1" applyFill="1" applyBorder="1" applyAlignment="1" applyProtection="1">
      <alignment horizontal="right" vertical="top" wrapText="1"/>
    </xf>
    <xf numFmtId="1" fontId="10" fillId="4" borderId="31" xfId="0" applyNumberFormat="1" applyFont="1" applyFill="1" applyBorder="1" applyAlignment="1" applyProtection="1">
      <alignment horizontal="right" vertical="top" wrapText="1"/>
    </xf>
    <xf numFmtId="0" fontId="10" fillId="5" borderId="17" xfId="0" applyFont="1" applyFill="1" applyBorder="1" applyAlignment="1" applyProtection="1">
      <alignment horizontal="right" vertical="top" wrapText="1"/>
    </xf>
    <xf numFmtId="2" fontId="13" fillId="4" borderId="14" xfId="0" applyNumberFormat="1" applyFont="1" applyFill="1" applyBorder="1" applyAlignment="1" applyProtection="1">
      <alignment horizontal="right"/>
    </xf>
    <xf numFmtId="2" fontId="13" fillId="4" borderId="15" xfId="0" applyNumberFormat="1" applyFont="1" applyFill="1" applyBorder="1" applyAlignment="1" applyProtection="1">
      <alignment horizontal="right"/>
    </xf>
    <xf numFmtId="0" fontId="13" fillId="5" borderId="32" xfId="0" applyFont="1" applyFill="1" applyBorder="1" applyAlignment="1" applyProtection="1">
      <alignment horizontal="right" vertical="top" wrapText="1"/>
    </xf>
    <xf numFmtId="168" fontId="15" fillId="3" borderId="32" xfId="0" applyNumberFormat="1" applyFont="1" applyFill="1" applyBorder="1" applyAlignment="1" applyProtection="1">
      <alignment horizontal="right" vertical="top" wrapText="1"/>
      <protection locked="0"/>
    </xf>
    <xf numFmtId="0" fontId="10" fillId="5" borderId="18" xfId="0" applyFont="1" applyFill="1" applyBorder="1" applyAlignment="1" applyProtection="1">
      <alignment horizontal="left" vertical="top" wrapText="1"/>
    </xf>
    <xf numFmtId="0" fontId="10" fillId="5" borderId="18" xfId="0" applyFont="1" applyFill="1" applyBorder="1" applyAlignment="1" applyProtection="1">
      <alignment horizontal="center" wrapText="1"/>
    </xf>
    <xf numFmtId="0" fontId="10" fillId="5" borderId="33" xfId="0" applyFont="1" applyFill="1" applyBorder="1" applyAlignment="1" applyProtection="1">
      <alignment horizontal="center" vertical="top" wrapText="1"/>
    </xf>
    <xf numFmtId="168" fontId="10" fillId="4" borderId="21" xfId="0" applyNumberFormat="1" applyFont="1" applyFill="1" applyBorder="1" applyAlignment="1" applyProtection="1">
      <alignment horizontal="right" vertical="top" wrapText="1"/>
    </xf>
    <xf numFmtId="168" fontId="10" fillId="4" borderId="34" xfId="0" applyNumberFormat="1" applyFont="1" applyFill="1" applyBorder="1" applyAlignment="1" applyProtection="1">
      <alignment horizontal="right" vertical="top" wrapText="1"/>
    </xf>
    <xf numFmtId="1" fontId="10" fillId="4" borderId="21" xfId="0" applyNumberFormat="1" applyFont="1" applyFill="1" applyBorder="1" applyAlignment="1" applyProtection="1">
      <alignment horizontal="right" vertical="center" wrapText="1"/>
    </xf>
    <xf numFmtId="0" fontId="2" fillId="9" borderId="21" xfId="0" applyFont="1" applyFill="1" applyBorder="1" applyAlignment="1" applyProtection="1">
      <alignment vertical="top" wrapText="1"/>
      <protection locked="0"/>
    </xf>
    <xf numFmtId="0" fontId="2" fillId="9" borderId="22" xfId="0" applyFont="1" applyFill="1" applyBorder="1" applyAlignment="1" applyProtection="1">
      <alignment vertical="top" wrapText="1"/>
      <protection locked="0"/>
    </xf>
    <xf numFmtId="0" fontId="13" fillId="5" borderId="18" xfId="0" applyFont="1" applyFill="1" applyBorder="1" applyAlignment="1" applyProtection="1">
      <alignment horizontal="center" vertical="top" wrapText="1"/>
    </xf>
    <xf numFmtId="0" fontId="13" fillId="5" borderId="20" xfId="0" applyFont="1" applyFill="1" applyBorder="1" applyAlignment="1" applyProtection="1">
      <alignment horizontal="center" vertical="top" wrapText="1"/>
    </xf>
    <xf numFmtId="1" fontId="13" fillId="4" borderId="35" xfId="0" applyNumberFormat="1" applyFont="1" applyFill="1" applyBorder="1" applyAlignment="1" applyProtection="1">
      <alignment horizontal="right" vertical="center" wrapText="1"/>
    </xf>
    <xf numFmtId="1" fontId="13" fillId="4" borderId="34" xfId="0" applyNumberFormat="1" applyFont="1" applyFill="1" applyBorder="1" applyAlignment="1" applyProtection="1">
      <alignment horizontal="right" vertical="center" wrapText="1"/>
    </xf>
    <xf numFmtId="1" fontId="13" fillId="4" borderId="22" xfId="0" applyNumberFormat="1" applyFont="1" applyFill="1" applyBorder="1" applyAlignment="1" applyProtection="1">
      <alignment horizontal="right" vertical="center" wrapText="1"/>
    </xf>
    <xf numFmtId="169" fontId="15" fillId="3" borderId="19" xfId="0" applyNumberFormat="1" applyFont="1" applyFill="1" applyBorder="1" applyAlignment="1" applyProtection="1">
      <alignment horizontal="right" vertical="center" wrapText="1"/>
      <protection locked="0"/>
    </xf>
    <xf numFmtId="169" fontId="15" fillId="3" borderId="21" xfId="0" applyNumberFormat="1" applyFont="1" applyFill="1" applyBorder="1" applyAlignment="1" applyProtection="1">
      <alignment horizontal="right" vertical="center" wrapText="1"/>
      <protection locked="0"/>
    </xf>
    <xf numFmtId="2" fontId="10" fillId="4" borderId="22" xfId="0" applyNumberFormat="1" applyFont="1" applyFill="1" applyBorder="1" applyAlignment="1" applyProtection="1">
      <alignment horizontal="right" vertical="center" wrapText="1"/>
    </xf>
    <xf numFmtId="169" fontId="13" fillId="4" borderId="14" xfId="4" applyNumberFormat="1" applyFont="1" applyFill="1" applyBorder="1" applyAlignment="1" applyProtection="1">
      <alignment horizontal="right" vertical="top" wrapText="1"/>
    </xf>
    <xf numFmtId="169" fontId="13" fillId="4" borderId="15" xfId="4" applyNumberFormat="1" applyFont="1" applyFill="1" applyBorder="1" applyAlignment="1" applyProtection="1">
      <alignment horizontal="right" vertical="top" wrapText="1"/>
    </xf>
    <xf numFmtId="0" fontId="10" fillId="5" borderId="36" xfId="0" applyFont="1" applyFill="1" applyBorder="1" applyAlignment="1" applyProtection="1">
      <alignment horizontal="right" vertical="top" wrapText="1"/>
    </xf>
    <xf numFmtId="169" fontId="13" fillId="4" borderId="37" xfId="4" applyNumberFormat="1" applyFont="1" applyFill="1" applyBorder="1" applyAlignment="1" applyProtection="1">
      <alignment vertical="top" wrapText="1"/>
    </xf>
    <xf numFmtId="169" fontId="13" fillId="4" borderId="38" xfId="4" applyNumberFormat="1" applyFont="1" applyFill="1" applyBorder="1" applyAlignment="1" applyProtection="1">
      <alignment vertical="top" wrapText="1"/>
    </xf>
    <xf numFmtId="0" fontId="7" fillId="5" borderId="18" xfId="0" applyFont="1" applyFill="1" applyBorder="1" applyAlignment="1" applyProtection="1">
      <alignment horizontal="center" vertical="top" wrapText="1"/>
    </xf>
    <xf numFmtId="2" fontId="13" fillId="4" borderId="21" xfId="0" applyNumberFormat="1" applyFont="1" applyFill="1" applyBorder="1" applyAlignment="1" applyProtection="1">
      <alignment vertical="top" wrapText="1"/>
    </xf>
    <xf numFmtId="0" fontId="10" fillId="5" borderId="21" xfId="0" applyFont="1" applyFill="1" applyBorder="1" applyAlignment="1" applyProtection="1">
      <alignment horizontal="center" vertical="top" wrapText="1"/>
    </xf>
    <xf numFmtId="2" fontId="13" fillId="4" borderId="21" xfId="0" applyNumberFormat="1" applyFont="1" applyFill="1" applyBorder="1" applyAlignment="1" applyProtection="1">
      <alignment horizontal="right" vertical="top" wrapText="1"/>
    </xf>
    <xf numFmtId="0" fontId="13" fillId="5" borderId="30" xfId="0" applyFont="1" applyFill="1" applyBorder="1" applyAlignment="1" applyProtection="1">
      <alignment horizontal="right" vertical="top" wrapText="1"/>
    </xf>
    <xf numFmtId="0" fontId="10" fillId="5" borderId="31" xfId="0" applyFont="1" applyFill="1" applyBorder="1" applyAlignment="1" applyProtection="1">
      <alignment horizontal="center" vertical="top" wrapText="1"/>
    </xf>
    <xf numFmtId="2" fontId="13" fillId="4" borderId="31" xfId="0" applyNumberFormat="1" applyFont="1" applyFill="1" applyBorder="1" applyAlignment="1" applyProtection="1">
      <alignment horizontal="right" vertical="top" wrapText="1"/>
    </xf>
    <xf numFmtId="0" fontId="7" fillId="4" borderId="31" xfId="0" applyFont="1" applyFill="1" applyBorder="1" applyAlignment="1" applyProtection="1">
      <alignment horizontal="center" vertical="top" wrapText="1"/>
    </xf>
    <xf numFmtId="0" fontId="15" fillId="3" borderId="31" xfId="0" applyFont="1" applyFill="1" applyBorder="1" applyAlignment="1" applyProtection="1">
      <alignment horizontal="left" vertical="top" wrapText="1"/>
      <protection locked="0"/>
    </xf>
    <xf numFmtId="0" fontId="15" fillId="3" borderId="39" xfId="0" applyFont="1" applyFill="1" applyBorder="1" applyAlignment="1" applyProtection="1">
      <alignment horizontal="left" vertical="top" wrapText="1"/>
      <protection locked="0"/>
    </xf>
    <xf numFmtId="0" fontId="13" fillId="5" borderId="18" xfId="0" applyFont="1" applyFill="1" applyBorder="1" applyAlignment="1" applyProtection="1">
      <alignment vertical="top" wrapText="1"/>
    </xf>
    <xf numFmtId="2" fontId="15" fillId="3" borderId="31" xfId="0" applyNumberFormat="1" applyFont="1" applyFill="1" applyBorder="1" applyAlignment="1" applyProtection="1">
      <alignment horizontal="right" vertical="top" wrapText="1"/>
      <protection locked="0"/>
    </xf>
    <xf numFmtId="0" fontId="10" fillId="4" borderId="31" xfId="0" applyFont="1" applyFill="1" applyBorder="1" applyAlignment="1" applyProtection="1">
      <alignment horizontal="center" vertical="top" wrapText="1"/>
    </xf>
    <xf numFmtId="0" fontId="12" fillId="3" borderId="39" xfId="0" applyFont="1" applyFill="1" applyBorder="1" applyAlignment="1" applyProtection="1">
      <alignment horizontal="left" vertical="top" wrapText="1"/>
      <protection locked="0"/>
    </xf>
    <xf numFmtId="0" fontId="18" fillId="5" borderId="14" xfId="0" applyFont="1" applyFill="1" applyBorder="1" applyAlignment="1" applyProtection="1">
      <alignment vertical="top" wrapText="1"/>
    </xf>
    <xf numFmtId="0" fontId="18" fillId="5" borderId="15" xfId="0" applyFont="1" applyFill="1" applyBorder="1" applyAlignment="1" applyProtection="1">
      <alignment vertical="top" wrapText="1"/>
    </xf>
    <xf numFmtId="0" fontId="21" fillId="5" borderId="18" xfId="0" applyFont="1" applyFill="1" applyBorder="1" applyAlignment="1" applyProtection="1">
      <alignment horizontal="left" vertical="top" wrapText="1"/>
    </xf>
    <xf numFmtId="169" fontId="13" fillId="4" borderId="20" xfId="4" applyNumberFormat="1" applyFont="1" applyFill="1" applyBorder="1" applyAlignment="1" applyProtection="1">
      <alignment vertical="top" wrapText="1"/>
    </xf>
    <xf numFmtId="169" fontId="13" fillId="4" borderId="21" xfId="4" applyNumberFormat="1" applyFont="1" applyFill="1" applyBorder="1" applyAlignment="1" applyProtection="1">
      <alignment vertical="top" wrapText="1"/>
    </xf>
    <xf numFmtId="169" fontId="13" fillId="4" borderId="22" xfId="4" applyNumberFormat="1" applyFont="1" applyFill="1" applyBorder="1" applyAlignment="1" applyProtection="1">
      <alignment vertical="top" wrapText="1"/>
    </xf>
    <xf numFmtId="0" fontId="13" fillId="5" borderId="40" xfId="0" applyFont="1" applyFill="1" applyBorder="1" applyAlignment="1" applyProtection="1">
      <alignment horizontal="right" vertical="top" wrapText="1"/>
    </xf>
    <xf numFmtId="169" fontId="13" fillId="4" borderId="41" xfId="4" applyNumberFormat="1" applyFont="1" applyFill="1" applyBorder="1" applyAlignment="1" applyProtection="1">
      <alignment vertical="top" wrapText="1"/>
    </xf>
    <xf numFmtId="169" fontId="13" fillId="4" borderId="42" xfId="4" applyNumberFormat="1" applyFont="1" applyFill="1" applyBorder="1" applyAlignment="1" applyProtection="1">
      <alignment vertical="top" wrapText="1"/>
    </xf>
    <xf numFmtId="0" fontId="13" fillId="5" borderId="43" xfId="0" applyFont="1" applyFill="1" applyBorder="1" applyAlignment="1" applyProtection="1">
      <alignment horizontal="right" vertical="top" wrapText="1"/>
    </xf>
    <xf numFmtId="2" fontId="13" fillId="4" borderId="44" xfId="0" applyNumberFormat="1" applyFont="1" applyFill="1" applyBorder="1" applyAlignment="1" applyProtection="1">
      <alignment vertical="top" wrapText="1"/>
    </xf>
    <xf numFmtId="0" fontId="10" fillId="5" borderId="44" xfId="0" applyFont="1" applyFill="1" applyBorder="1" applyAlignment="1" applyProtection="1">
      <alignment horizontal="center" vertical="top" wrapText="1"/>
    </xf>
    <xf numFmtId="0" fontId="10" fillId="5" borderId="22" xfId="0" applyFont="1" applyFill="1" applyBorder="1" applyAlignment="1" applyProtection="1">
      <alignment horizontal="center" vertical="top" wrapText="1"/>
    </xf>
    <xf numFmtId="0" fontId="24" fillId="4" borderId="2" xfId="0" applyFont="1" applyFill="1" applyBorder="1" applyAlignment="1" applyProtection="1">
      <alignment horizontal="center" vertical="top" wrapText="1"/>
    </xf>
    <xf numFmtId="0" fontId="33" fillId="8" borderId="9" xfId="0" applyFont="1" applyFill="1" applyBorder="1" applyAlignment="1">
      <alignment horizontal="center" vertical="center" wrapText="1"/>
    </xf>
    <xf numFmtId="0" fontId="33" fillId="8" borderId="9" xfId="0" applyFont="1" applyFill="1" applyBorder="1" applyAlignment="1">
      <alignment vertical="center" wrapText="1"/>
    </xf>
    <xf numFmtId="0" fontId="15" fillId="2" borderId="9" xfId="0" applyFont="1" applyFill="1" applyBorder="1" applyAlignment="1" applyProtection="1">
      <alignment horizontal="center" wrapText="1"/>
    </xf>
    <xf numFmtId="0" fontId="15" fillId="2" borderId="9" xfId="0" applyFont="1" applyFill="1" applyBorder="1" applyAlignment="1" applyProtection="1">
      <alignment horizontal="left" wrapText="1"/>
    </xf>
    <xf numFmtId="0" fontId="7" fillId="5" borderId="9" xfId="0" applyFont="1" applyFill="1" applyBorder="1" applyAlignment="1" applyProtection="1">
      <alignment horizontal="center" vertical="center" wrapText="1"/>
    </xf>
    <xf numFmtId="2" fontId="7" fillId="4" borderId="9" xfId="4" applyNumberFormat="1" applyFont="1" applyFill="1" applyBorder="1" applyAlignment="1" applyProtection="1">
      <alignment horizontal="center" vertical="center" wrapText="1"/>
    </xf>
    <xf numFmtId="168" fontId="11" fillId="3" borderId="9" xfId="0" applyNumberFormat="1" applyFont="1" applyFill="1" applyBorder="1" applyAlignment="1" applyProtection="1">
      <alignment horizontal="center" vertical="center" wrapText="1"/>
      <protection locked="0"/>
    </xf>
    <xf numFmtId="169" fontId="11" fillId="7" borderId="9" xfId="1" applyNumberFormat="1" applyFont="1" applyFill="1" applyBorder="1" applyAlignment="1" applyProtection="1">
      <alignment horizontal="center" vertical="center" wrapText="1"/>
      <protection locked="0"/>
    </xf>
    <xf numFmtId="169" fontId="11" fillId="10" borderId="9" xfId="1" applyNumberFormat="1" applyFont="1" applyFill="1" applyBorder="1" applyAlignment="1" applyProtection="1">
      <alignment horizontal="center" vertical="center" wrapText="1"/>
      <protection locked="0"/>
    </xf>
    <xf numFmtId="15" fontId="15" fillId="3" borderId="18" xfId="0" applyNumberFormat="1" applyFont="1" applyFill="1" applyBorder="1" applyAlignment="1" applyProtection="1">
      <alignment horizontal="right" vertical="top" wrapText="1"/>
      <protection locked="0"/>
    </xf>
    <xf numFmtId="15" fontId="15" fillId="3" borderId="19" xfId="0" applyNumberFormat="1" applyFont="1" applyFill="1" applyBorder="1" applyAlignment="1" applyProtection="1">
      <alignment horizontal="right" vertical="top" wrapText="1"/>
      <protection locked="0"/>
    </xf>
    <xf numFmtId="0" fontId="15" fillId="3" borderId="21" xfId="0" applyFont="1" applyFill="1" applyBorder="1" applyAlignment="1" applyProtection="1">
      <alignment horizontal="right" vertical="top" wrapText="1"/>
      <protection locked="0"/>
    </xf>
    <xf numFmtId="0" fontId="4" fillId="5" borderId="45" xfId="0" applyFont="1" applyFill="1" applyBorder="1" applyAlignment="1" applyProtection="1">
      <alignment horizontal="left" vertical="top" wrapText="1"/>
    </xf>
    <xf numFmtId="15" fontId="4" fillId="5" borderId="45" xfId="0" applyNumberFormat="1" applyFont="1" applyFill="1" applyBorder="1" applyAlignment="1" applyProtection="1">
      <alignment horizontal="left" vertical="top" wrapText="1"/>
    </xf>
    <xf numFmtId="15" fontId="7" fillId="5" borderId="2" xfId="0" applyNumberFormat="1" applyFont="1" applyFill="1" applyBorder="1" applyAlignment="1" applyProtection="1">
      <alignment horizontal="center" vertical="top" wrapText="1"/>
    </xf>
    <xf numFmtId="15" fontId="15" fillId="3" borderId="2" xfId="0" applyNumberFormat="1" applyFont="1" applyFill="1" applyBorder="1" applyAlignment="1" applyProtection="1">
      <alignment horizontal="right" vertical="top" wrapText="1"/>
      <protection locked="0"/>
    </xf>
    <xf numFmtId="15" fontId="15" fillId="3" borderId="21" xfId="0" applyNumberFormat="1" applyFont="1" applyFill="1" applyBorder="1" applyAlignment="1" applyProtection="1">
      <alignment horizontal="right" vertical="top" wrapText="1"/>
      <protection locked="0"/>
    </xf>
    <xf numFmtId="15" fontId="2" fillId="2" borderId="0" xfId="0" applyNumberFormat="1" applyFont="1" applyFill="1" applyAlignment="1">
      <alignment vertical="top" wrapText="1"/>
    </xf>
    <xf numFmtId="15" fontId="0" fillId="2" borderId="0" xfId="0" applyNumberFormat="1" applyFill="1" applyAlignment="1"/>
    <xf numFmtId="15" fontId="0" fillId="0" borderId="0" xfId="0" applyNumberFormat="1" applyAlignment="1"/>
    <xf numFmtId="15" fontId="4" fillId="5" borderId="46" xfId="0" applyNumberFormat="1" applyFont="1" applyFill="1" applyBorder="1" applyAlignment="1" applyProtection="1">
      <alignment horizontal="left" vertical="top" wrapText="1"/>
    </xf>
    <xf numFmtId="0" fontId="15" fillId="3" borderId="20" xfId="0" applyNumberFormat="1" applyFont="1" applyFill="1" applyBorder="1" applyAlignment="1" applyProtection="1">
      <alignment horizontal="left" vertical="top" wrapText="1"/>
      <protection locked="0"/>
    </xf>
    <xf numFmtId="0" fontId="12" fillId="3" borderId="20" xfId="0" applyNumberFormat="1" applyFont="1" applyFill="1" applyBorder="1" applyAlignment="1" applyProtection="1">
      <alignment horizontal="left" vertical="top" wrapText="1"/>
      <protection locked="0"/>
    </xf>
    <xf numFmtId="0" fontId="15" fillId="3" borderId="22" xfId="0" applyNumberFormat="1" applyFont="1" applyFill="1" applyBorder="1" applyAlignment="1" applyProtection="1">
      <alignment horizontal="left" vertical="top" wrapText="1"/>
      <protection locked="0"/>
    </xf>
    <xf numFmtId="0" fontId="10" fillId="5" borderId="21" xfId="0" applyFont="1" applyFill="1" applyBorder="1" applyAlignment="1" applyProtection="1">
      <alignment horizontal="center" vertical="center" wrapText="1"/>
    </xf>
    <xf numFmtId="169" fontId="15" fillId="3" borderId="2" xfId="0" applyNumberFormat="1" applyFont="1" applyFill="1" applyBorder="1" applyAlignment="1" applyProtection="1">
      <alignment horizontal="right" vertical="center" wrapText="1"/>
      <protection locked="0"/>
    </xf>
    <xf numFmtId="169" fontId="14" fillId="7" borderId="21" xfId="0" applyNumberFormat="1" applyFont="1" applyFill="1" applyBorder="1" applyAlignment="1" applyProtection="1">
      <alignment horizontal="right" vertical="center" wrapText="1"/>
      <protection locked="0"/>
    </xf>
    <xf numFmtId="168" fontId="15" fillId="3" borderId="2" xfId="0" applyNumberFormat="1" applyFont="1" applyFill="1" applyBorder="1" applyAlignment="1" applyProtection="1">
      <alignment horizontal="center" vertical="top" wrapText="1"/>
      <protection locked="0"/>
    </xf>
    <xf numFmtId="168" fontId="12" fillId="3" borderId="2" xfId="0" applyNumberFormat="1" applyFont="1" applyFill="1" applyBorder="1" applyAlignment="1" applyProtection="1">
      <alignment horizontal="center" vertical="top" wrapText="1"/>
      <protection locked="0"/>
    </xf>
    <xf numFmtId="168" fontId="15" fillId="3" borderId="21" xfId="0" applyNumberFormat="1" applyFont="1" applyFill="1" applyBorder="1" applyAlignment="1" applyProtection="1">
      <alignment horizontal="center" vertical="top" wrapText="1"/>
      <protection locked="0"/>
    </xf>
    <xf numFmtId="169" fontId="13" fillId="4" borderId="2" xfId="0" applyNumberFormat="1" applyFont="1" applyFill="1" applyBorder="1" applyAlignment="1" applyProtection="1">
      <alignment vertical="center" wrapText="1"/>
    </xf>
    <xf numFmtId="169" fontId="10" fillId="4" borderId="2" xfId="0" applyNumberFormat="1" applyFont="1" applyFill="1" applyBorder="1" applyAlignment="1" applyProtection="1">
      <alignment horizontal="center" vertical="center" wrapText="1"/>
    </xf>
    <xf numFmtId="169" fontId="10" fillId="4" borderId="21" xfId="0" applyNumberFormat="1" applyFont="1" applyFill="1" applyBorder="1" applyAlignment="1" applyProtection="1">
      <alignment vertical="top" wrapText="1"/>
    </xf>
    <xf numFmtId="169" fontId="10" fillId="4" borderId="21" xfId="0" applyNumberFormat="1" applyFont="1" applyFill="1" applyBorder="1" applyAlignment="1" applyProtection="1">
      <alignment horizontal="center" vertical="top" wrapText="1"/>
    </xf>
    <xf numFmtId="168" fontId="15" fillId="3" borderId="21" xfId="0" applyNumberFormat="1" applyFont="1" applyFill="1" applyBorder="1" applyAlignment="1" applyProtection="1">
      <alignment horizontal="right" vertical="center" wrapText="1"/>
      <protection locked="0"/>
    </xf>
    <xf numFmtId="169" fontId="10" fillId="4" borderId="20" xfId="0" applyNumberFormat="1" applyFont="1" applyFill="1" applyBorder="1" applyAlignment="1" applyProtection="1">
      <alignment horizontal="right" vertical="center" wrapText="1"/>
    </xf>
    <xf numFmtId="169" fontId="10" fillId="4" borderId="22" xfId="0" applyNumberFormat="1" applyFont="1" applyFill="1" applyBorder="1" applyAlignment="1" applyProtection="1">
      <alignment horizontal="right" vertical="center" wrapText="1"/>
    </xf>
    <xf numFmtId="169" fontId="10" fillId="4" borderId="2" xfId="0" applyNumberFormat="1" applyFont="1" applyFill="1" applyBorder="1" applyAlignment="1" applyProtection="1">
      <alignment horizontal="right" vertical="top" wrapText="1"/>
    </xf>
    <xf numFmtId="169" fontId="10" fillId="4" borderId="20" xfId="0" applyNumberFormat="1" applyFont="1" applyFill="1" applyBorder="1" applyAlignment="1" applyProtection="1">
      <alignment horizontal="right" vertical="top" wrapText="1"/>
    </xf>
    <xf numFmtId="169" fontId="15" fillId="3" borderId="20" xfId="0" applyNumberFormat="1" applyFont="1" applyFill="1" applyBorder="1" applyAlignment="1" applyProtection="1">
      <alignment horizontal="right" vertical="top" wrapText="1"/>
      <protection locked="0"/>
    </xf>
    <xf numFmtId="169" fontId="15" fillId="3" borderId="21" xfId="0" applyNumberFormat="1" applyFont="1" applyFill="1" applyBorder="1" applyAlignment="1" applyProtection="1">
      <alignment horizontal="right" vertical="top" wrapText="1"/>
      <protection locked="0"/>
    </xf>
    <xf numFmtId="169" fontId="15" fillId="3" borderId="22" xfId="0" applyNumberFormat="1" applyFont="1" applyFill="1" applyBorder="1" applyAlignment="1" applyProtection="1">
      <alignment horizontal="right" vertical="top" wrapText="1"/>
      <protection locked="0"/>
    </xf>
    <xf numFmtId="15" fontId="15" fillId="3" borderId="47" xfId="0" applyNumberFormat="1" applyFont="1" applyFill="1" applyBorder="1" applyAlignment="1" applyProtection="1">
      <alignment horizontal="right" vertical="top" wrapText="1"/>
      <protection locked="0"/>
    </xf>
    <xf numFmtId="0" fontId="15" fillId="3" borderId="2" xfId="0" applyNumberFormat="1" applyFont="1" applyFill="1" applyBorder="1" applyAlignment="1" applyProtection="1">
      <alignment horizontal="right" vertical="top" wrapText="1"/>
      <protection locked="0"/>
    </xf>
    <xf numFmtId="168" fontId="12" fillId="2" borderId="0" xfId="0" applyNumberFormat="1" applyFont="1" applyFill="1" applyBorder="1" applyAlignment="1" applyProtection="1">
      <alignment vertical="top" wrapText="1"/>
    </xf>
    <xf numFmtId="15" fontId="15" fillId="3" borderId="48" xfId="0" applyNumberFormat="1" applyFont="1" applyFill="1" applyBorder="1" applyAlignment="1" applyProtection="1">
      <alignment horizontal="right" vertical="top" wrapText="1"/>
      <protection locked="0"/>
    </xf>
    <xf numFmtId="2" fontId="11" fillId="0" borderId="49" xfId="0" applyNumberFormat="1" applyFont="1" applyFill="1" applyBorder="1" applyAlignment="1">
      <alignment horizontal="right" vertical="top" wrapText="1"/>
    </xf>
    <xf numFmtId="2" fontId="12" fillId="0" borderId="0" xfId="4" applyNumberFormat="1" applyFont="1" applyFill="1" applyBorder="1" applyAlignment="1">
      <alignment horizontal="right" vertical="top" wrapText="1"/>
    </xf>
    <xf numFmtId="2" fontId="12" fillId="0" borderId="0" xfId="0" applyNumberFormat="1" applyFont="1" applyFill="1" applyAlignment="1">
      <alignment horizontal="right"/>
    </xf>
    <xf numFmtId="0" fontId="11" fillId="0" borderId="49" xfId="0" applyNumberFormat="1" applyFont="1" applyFill="1" applyBorder="1" applyAlignment="1">
      <alignment horizontal="right" vertical="top" wrapText="1"/>
    </xf>
    <xf numFmtId="0" fontId="11" fillId="0" borderId="0" xfId="0" applyNumberFormat="1" applyFont="1" applyFill="1" applyBorder="1" applyAlignment="1">
      <alignment horizontal="right" vertical="top" wrapText="1"/>
    </xf>
    <xf numFmtId="0" fontId="11" fillId="0" borderId="0" xfId="0" applyNumberFormat="1" applyFont="1" applyFill="1" applyAlignment="1">
      <alignment horizontal="right"/>
    </xf>
    <xf numFmtId="14" fontId="11" fillId="0" borderId="0" xfId="0" applyNumberFormat="1" applyFont="1" applyFill="1" applyBorder="1" applyAlignment="1">
      <alignment horizontal="right" vertical="top" wrapText="1"/>
    </xf>
    <xf numFmtId="168" fontId="2" fillId="0" borderId="0" xfId="0" applyNumberFormat="1" applyFont="1" applyFill="1" applyBorder="1" applyAlignment="1">
      <alignment horizontal="right" vertical="top" wrapText="1"/>
    </xf>
    <xf numFmtId="168" fontId="2" fillId="0" borderId="0" xfId="4" applyNumberFormat="1" applyFont="1" applyFill="1" applyBorder="1" applyAlignment="1">
      <alignment horizontal="left" vertical="top" wrapText="1"/>
    </xf>
    <xf numFmtId="168" fontId="5" fillId="0" borderId="0" xfId="0" applyNumberFormat="1" applyFont="1" applyFill="1"/>
    <xf numFmtId="168" fontId="14" fillId="0" borderId="50" xfId="0" applyNumberFormat="1" applyFont="1" applyFill="1" applyBorder="1" applyAlignment="1" applyProtection="1">
      <alignment horizontal="right" vertical="top" wrapText="1"/>
      <protection locked="0"/>
    </xf>
    <xf numFmtId="168" fontId="12" fillId="0" borderId="0" xfId="0" applyNumberFormat="1" applyFont="1" applyFill="1"/>
    <xf numFmtId="168" fontId="14" fillId="0" borderId="51" xfId="0" applyNumberFormat="1" applyFont="1" applyFill="1" applyBorder="1" applyAlignment="1" applyProtection="1">
      <alignment horizontal="right"/>
      <protection locked="0"/>
    </xf>
    <xf numFmtId="168" fontId="35" fillId="0" borderId="0" xfId="0" applyNumberFormat="1" applyFont="1" applyFill="1"/>
    <xf numFmtId="168" fontId="14" fillId="0" borderId="2" xfId="0" applyNumberFormat="1" applyFont="1" applyFill="1" applyBorder="1" applyAlignment="1" applyProtection="1">
      <alignment horizontal="right"/>
      <protection locked="0"/>
    </xf>
    <xf numFmtId="168" fontId="35" fillId="0" borderId="0" xfId="0" applyNumberFormat="1" applyFont="1" applyFill="1" applyBorder="1"/>
    <xf numFmtId="0" fontId="10" fillId="5" borderId="18" xfId="0" applyFont="1" applyFill="1" applyBorder="1" applyAlignment="1" applyProtection="1">
      <alignment horizontal="right" vertical="center" wrapText="1"/>
      <protection locked="0"/>
    </xf>
    <xf numFmtId="0" fontId="10" fillId="5" borderId="19" xfId="0" applyFont="1" applyFill="1" applyBorder="1" applyAlignment="1" applyProtection="1">
      <alignment horizontal="right" vertical="center" wrapText="1"/>
      <protection locked="0"/>
    </xf>
    <xf numFmtId="2" fontId="15" fillId="3" borderId="44" xfId="0" applyNumberFormat="1" applyFont="1" applyFill="1" applyBorder="1" applyAlignment="1" applyProtection="1">
      <alignment horizontal="right" vertical="top" wrapText="1"/>
      <protection locked="0"/>
    </xf>
    <xf numFmtId="2" fontId="15" fillId="3" borderId="2" xfId="0" applyNumberFormat="1" applyFont="1" applyFill="1" applyBorder="1" applyAlignment="1" applyProtection="1">
      <alignment horizontal="right" vertical="top" wrapText="1"/>
      <protection locked="0"/>
    </xf>
    <xf numFmtId="2" fontId="15" fillId="3" borderId="37" xfId="0" applyNumberFormat="1" applyFont="1" applyFill="1" applyBorder="1" applyAlignment="1" applyProtection="1">
      <alignment horizontal="right" vertical="top" wrapText="1"/>
      <protection locked="0"/>
    </xf>
    <xf numFmtId="0" fontId="33" fillId="8" borderId="18" xfId="0" applyFont="1" applyFill="1" applyBorder="1" applyAlignment="1" applyProtection="1">
      <alignment vertical="top" wrapText="1"/>
      <protection locked="0"/>
    </xf>
    <xf numFmtId="0" fontId="33" fillId="8" borderId="2" xfId="0" applyFont="1" applyFill="1" applyBorder="1" applyAlignment="1" applyProtection="1">
      <alignment vertical="top" wrapText="1"/>
      <protection locked="0"/>
    </xf>
    <xf numFmtId="0" fontId="33" fillId="8" borderId="20" xfId="0" applyFont="1" applyFill="1" applyBorder="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2" xfId="0" applyFont="1" applyBorder="1" applyAlignment="1" applyProtection="1">
      <alignment vertical="top" wrapText="1"/>
      <protection locked="0"/>
    </xf>
    <xf numFmtId="0" fontId="15" fillId="0" borderId="20" xfId="0" applyFont="1" applyBorder="1" applyAlignment="1" applyProtection="1">
      <alignment vertical="top" wrapText="1"/>
      <protection locked="0"/>
    </xf>
    <xf numFmtId="0" fontId="15" fillId="0" borderId="18" xfId="0" applyFont="1" applyBorder="1" applyAlignment="1" applyProtection="1">
      <alignment horizontal="right" vertical="top" wrapText="1"/>
      <protection locked="0"/>
    </xf>
    <xf numFmtId="0" fontId="14" fillId="0" borderId="18" xfId="0" applyFont="1" applyBorder="1" applyAlignment="1" applyProtection="1">
      <alignment vertical="top" wrapText="1"/>
      <protection locked="0"/>
    </xf>
    <xf numFmtId="0" fontId="14" fillId="0" borderId="2" xfId="0" applyFont="1" applyBorder="1" applyAlignment="1" applyProtection="1">
      <alignment vertical="top" wrapText="1"/>
      <protection locked="0"/>
    </xf>
    <xf numFmtId="0" fontId="15" fillId="0" borderId="19"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166" fontId="15" fillId="3" borderId="2" xfId="0" applyNumberFormat="1" applyFont="1" applyFill="1" applyBorder="1" applyAlignment="1" applyProtection="1">
      <alignment horizontal="right" vertical="center" wrapText="1"/>
      <protection locked="0"/>
    </xf>
    <xf numFmtId="1" fontId="15" fillId="3" borderId="2" xfId="0" applyNumberFormat="1" applyFont="1" applyFill="1" applyBorder="1" applyAlignment="1" applyProtection="1">
      <alignment horizontal="right" vertical="center" wrapText="1"/>
      <protection locked="0"/>
    </xf>
    <xf numFmtId="0" fontId="11" fillId="3" borderId="2" xfId="0" applyFont="1" applyFill="1" applyBorder="1" applyAlignment="1" applyProtection="1">
      <alignment horizontal="center" vertical="center" wrapText="1"/>
      <protection locked="0"/>
    </xf>
    <xf numFmtId="167" fontId="15" fillId="3" borderId="2" xfId="0" applyNumberFormat="1" applyFont="1" applyFill="1" applyBorder="1" applyAlignment="1" applyProtection="1">
      <alignment horizontal="right" vertical="center" wrapText="1"/>
      <protection locked="0"/>
    </xf>
    <xf numFmtId="0" fontId="11" fillId="3" borderId="20" xfId="0" applyFont="1" applyFill="1" applyBorder="1" applyAlignment="1" applyProtection="1">
      <alignment horizontal="center" vertical="center" wrapText="1"/>
      <protection locked="0"/>
    </xf>
    <xf numFmtId="2" fontId="15" fillId="3" borderId="20" xfId="0" applyNumberFormat="1" applyFont="1" applyFill="1" applyBorder="1" applyAlignment="1" applyProtection="1">
      <alignment horizontal="right" vertical="center" wrapText="1"/>
      <protection locked="0"/>
    </xf>
    <xf numFmtId="2" fontId="15" fillId="3" borderId="2" xfId="0" applyNumberFormat="1" applyFont="1" applyFill="1" applyBorder="1" applyAlignment="1" applyProtection="1">
      <alignment horizontal="right" vertical="center" wrapText="1"/>
      <protection locked="0"/>
    </xf>
    <xf numFmtId="15" fontId="14" fillId="0" borderId="2" xfId="0" applyNumberFormat="1" applyFont="1" applyBorder="1" applyAlignment="1" applyProtection="1">
      <alignment vertical="top" wrapText="1"/>
      <protection locked="0"/>
    </xf>
    <xf numFmtId="0" fontId="16" fillId="5" borderId="6" xfId="0" applyFont="1" applyFill="1" applyBorder="1" applyAlignment="1" applyProtection="1">
      <alignment horizontal="center" vertical="center" wrapText="1"/>
    </xf>
    <xf numFmtId="0" fontId="16" fillId="5" borderId="56" xfId="0" applyFont="1" applyFill="1" applyBorder="1" applyAlignment="1" applyProtection="1">
      <alignment horizontal="center" vertical="center" wrapText="1"/>
    </xf>
    <xf numFmtId="0" fontId="16" fillId="5" borderId="3" xfId="0" applyFont="1" applyFill="1" applyBorder="1" applyAlignment="1" applyProtection="1">
      <alignment horizontal="center" vertical="center" wrapText="1"/>
    </xf>
    <xf numFmtId="0" fontId="7" fillId="5" borderId="2" xfId="0" applyFont="1" applyFill="1" applyBorder="1" applyAlignment="1" applyProtection="1">
      <alignment horizontal="right" vertical="center" wrapText="1"/>
    </xf>
    <xf numFmtId="0" fontId="13" fillId="5" borderId="2" xfId="0" applyFont="1" applyFill="1" applyBorder="1" applyAlignment="1" applyProtection="1">
      <alignment horizontal="right" vertical="center" wrapText="1"/>
    </xf>
    <xf numFmtId="0" fontId="16" fillId="5" borderId="17" xfId="0" applyFont="1" applyFill="1" applyBorder="1" applyAlignment="1" applyProtection="1">
      <alignment horizontal="center" vertical="center"/>
    </xf>
    <xf numFmtId="0" fontId="16" fillId="5" borderId="14" xfId="0" applyFont="1" applyFill="1" applyBorder="1" applyAlignment="1" applyProtection="1">
      <alignment horizontal="center" vertical="center"/>
    </xf>
    <xf numFmtId="0" fontId="16" fillId="5" borderId="15" xfId="0" applyFont="1" applyFill="1" applyBorder="1" applyAlignment="1" applyProtection="1">
      <alignment horizontal="center" vertical="center"/>
    </xf>
    <xf numFmtId="0" fontId="7" fillId="5" borderId="52" xfId="0" applyFont="1" applyFill="1" applyBorder="1" applyAlignment="1" applyProtection="1">
      <alignment horizontal="center" vertical="center" wrapText="1"/>
    </xf>
    <xf numFmtId="0" fontId="7" fillId="5" borderId="45" xfId="0" applyFont="1" applyFill="1" applyBorder="1" applyAlignment="1" applyProtection="1">
      <alignment horizontal="center" vertical="center" wrapText="1"/>
    </xf>
    <xf numFmtId="0" fontId="7" fillId="5" borderId="46" xfId="0" applyFont="1" applyFill="1" applyBorder="1" applyAlignment="1" applyProtection="1">
      <alignment horizontal="center" vertical="center" wrapText="1"/>
    </xf>
    <xf numFmtId="0" fontId="7" fillId="5" borderId="53" xfId="0" applyFont="1" applyFill="1" applyBorder="1" applyAlignment="1" applyProtection="1">
      <alignment horizontal="center" vertical="center" wrapText="1"/>
    </xf>
    <xf numFmtId="0" fontId="7" fillId="5" borderId="54" xfId="0" applyFont="1" applyFill="1" applyBorder="1" applyAlignment="1" applyProtection="1">
      <alignment horizontal="center" vertical="center" wrapText="1"/>
    </xf>
    <xf numFmtId="0" fontId="7" fillId="5" borderId="55" xfId="0" applyFont="1" applyFill="1" applyBorder="1" applyAlignment="1" applyProtection="1">
      <alignment horizontal="center" vertical="center" wrapText="1"/>
    </xf>
    <xf numFmtId="0" fontId="15" fillId="0" borderId="2" xfId="0" applyFont="1" applyBorder="1" applyAlignment="1" applyProtection="1">
      <alignment horizontal="right" vertical="center" wrapText="1"/>
    </xf>
    <xf numFmtId="0" fontId="13" fillId="5" borderId="21" xfId="0" applyFont="1" applyFill="1" applyBorder="1" applyAlignment="1" applyProtection="1">
      <alignment horizontal="right" vertical="center" wrapText="1"/>
    </xf>
    <xf numFmtId="0" fontId="15" fillId="0" borderId="21" xfId="0" applyFont="1" applyBorder="1" applyAlignment="1" applyProtection="1">
      <alignment horizontal="right" vertical="center" wrapText="1"/>
    </xf>
    <xf numFmtId="0" fontId="13" fillId="5" borderId="57" xfId="0" applyFont="1" applyFill="1" applyBorder="1" applyAlignment="1" applyProtection="1">
      <alignment horizontal="right" vertical="center" wrapText="1"/>
    </xf>
    <xf numFmtId="0" fontId="0" fillId="0" borderId="58" xfId="0" applyBorder="1"/>
    <xf numFmtId="0" fontId="0" fillId="0" borderId="59" xfId="0" applyBorder="1"/>
    <xf numFmtId="0" fontId="13" fillId="5" borderId="19" xfId="0" applyFont="1" applyFill="1" applyBorder="1" applyAlignment="1" applyProtection="1">
      <alignment horizontal="right" vertical="center" wrapText="1"/>
    </xf>
    <xf numFmtId="0" fontId="0" fillId="0" borderId="21" xfId="0" applyBorder="1" applyAlignment="1" applyProtection="1">
      <alignment horizontal="right" vertical="center" wrapText="1"/>
    </xf>
    <xf numFmtId="0" fontId="17" fillId="5" borderId="17" xfId="0" applyFont="1" applyFill="1" applyBorder="1" applyAlignment="1" applyProtection="1">
      <alignment horizontal="left" vertical="top" wrapText="1"/>
    </xf>
    <xf numFmtId="0" fontId="17" fillId="5" borderId="14" xfId="0" applyFont="1" applyFill="1" applyBorder="1" applyAlignment="1" applyProtection="1">
      <alignment horizontal="left" vertical="top" wrapText="1"/>
    </xf>
    <xf numFmtId="0" fontId="17" fillId="5" borderId="15" xfId="0" applyFont="1" applyFill="1" applyBorder="1" applyAlignment="1" applyProtection="1">
      <alignment horizontal="left" vertical="top" wrapText="1"/>
    </xf>
    <xf numFmtId="0" fontId="15" fillId="3" borderId="2" xfId="0" applyFont="1" applyFill="1" applyBorder="1" applyAlignment="1" applyProtection="1">
      <alignment horizontal="left" vertical="top" wrapText="1"/>
      <protection locked="0"/>
    </xf>
    <xf numFmtId="0" fontId="15" fillId="3" borderId="20" xfId="0" applyFont="1" applyFill="1" applyBorder="1" applyAlignment="1" applyProtection="1">
      <alignment horizontal="left" vertical="top" wrapText="1"/>
      <protection locked="0"/>
    </xf>
    <xf numFmtId="0" fontId="17" fillId="5" borderId="52" xfId="0" applyFont="1" applyFill="1" applyBorder="1" applyAlignment="1" applyProtection="1">
      <alignment horizontal="left" vertical="top" wrapText="1"/>
    </xf>
    <xf numFmtId="0" fontId="17" fillId="5" borderId="45" xfId="0" applyFont="1" applyFill="1" applyBorder="1" applyAlignment="1" applyProtection="1">
      <alignment horizontal="left" vertical="top" wrapText="1"/>
    </xf>
    <xf numFmtId="0" fontId="17" fillId="5" borderId="46" xfId="0" applyFont="1" applyFill="1" applyBorder="1" applyAlignment="1" applyProtection="1">
      <alignment horizontal="left" vertical="top" wrapText="1"/>
    </xf>
    <xf numFmtId="0" fontId="10" fillId="5" borderId="14" xfId="0" applyFont="1" applyFill="1" applyBorder="1" applyAlignment="1" applyProtection="1">
      <alignment horizontal="center" vertical="center" wrapText="1"/>
    </xf>
    <xf numFmtId="0" fontId="10" fillId="5" borderId="15" xfId="0" applyFont="1" applyFill="1" applyBorder="1" applyAlignment="1" applyProtection="1">
      <alignment horizontal="center" vertical="center" wrapText="1"/>
    </xf>
    <xf numFmtId="0" fontId="15" fillId="3" borderId="21" xfId="0" applyFont="1" applyFill="1" applyBorder="1" applyAlignment="1" applyProtection="1">
      <alignment horizontal="left" vertical="top" wrapText="1"/>
      <protection locked="0"/>
    </xf>
    <xf numFmtId="0" fontId="15" fillId="3" borderId="22" xfId="0" applyFont="1" applyFill="1" applyBorder="1" applyAlignment="1" applyProtection="1">
      <alignment horizontal="left" vertical="top" wrapText="1"/>
      <protection locked="0"/>
    </xf>
    <xf numFmtId="0" fontId="7" fillId="5" borderId="14" xfId="0" applyFont="1" applyFill="1" applyBorder="1" applyAlignment="1" applyProtection="1">
      <alignment horizontal="center"/>
    </xf>
    <xf numFmtId="0" fontId="10" fillId="5" borderId="14" xfId="0" applyFont="1" applyFill="1" applyBorder="1" applyAlignment="1" applyProtection="1">
      <alignment horizontal="center" wrapText="1"/>
    </xf>
    <xf numFmtId="0" fontId="10" fillId="5" borderId="2" xfId="0" applyFont="1" applyFill="1" applyBorder="1" applyAlignment="1" applyProtection="1">
      <alignment horizontal="center" wrapText="1"/>
    </xf>
    <xf numFmtId="0" fontId="10" fillId="5" borderId="15" xfId="0" applyFont="1" applyFill="1" applyBorder="1" applyAlignment="1" applyProtection="1">
      <alignment horizontal="center" wrapText="1"/>
    </xf>
    <xf numFmtId="0" fontId="10" fillId="5" borderId="20" xfId="0" applyFont="1" applyFill="1" applyBorder="1" applyAlignment="1" applyProtection="1">
      <alignment horizontal="center" wrapText="1"/>
    </xf>
    <xf numFmtId="0" fontId="17" fillId="5" borderId="17" xfId="0" applyFont="1" applyFill="1" applyBorder="1" applyAlignment="1" applyProtection="1">
      <alignment horizontal="center" vertical="top" wrapText="1"/>
    </xf>
    <xf numFmtId="0" fontId="17" fillId="5" borderId="14" xfId="0" applyFont="1" applyFill="1" applyBorder="1" applyAlignment="1" applyProtection="1">
      <alignment horizontal="center" vertical="top" wrapText="1"/>
    </xf>
    <xf numFmtId="0" fontId="17" fillId="5" borderId="15" xfId="0" applyFont="1" applyFill="1" applyBorder="1" applyAlignment="1" applyProtection="1">
      <alignment horizontal="center" vertical="top" wrapText="1"/>
    </xf>
    <xf numFmtId="0" fontId="17" fillId="5" borderId="16" xfId="0" applyFont="1" applyFill="1" applyBorder="1" applyAlignment="1" applyProtection="1">
      <alignment horizontal="left" vertical="top" wrapText="1"/>
    </xf>
    <xf numFmtId="169" fontId="13" fillId="4" borderId="2" xfId="0" applyNumberFormat="1" applyFont="1" applyFill="1" applyBorder="1" applyAlignment="1" applyProtection="1">
      <alignment vertical="center" wrapText="1"/>
    </xf>
    <xf numFmtId="169" fontId="10" fillId="4" borderId="2" xfId="0" applyNumberFormat="1" applyFont="1" applyFill="1" applyBorder="1" applyAlignment="1" applyProtection="1">
      <alignment horizontal="center" vertical="center" wrapText="1"/>
    </xf>
    <xf numFmtId="0" fontId="7" fillId="5" borderId="17" xfId="0" applyFont="1" applyFill="1" applyBorder="1" applyAlignment="1" applyProtection="1">
      <alignment horizontal="center" vertical="top" wrapText="1"/>
    </xf>
    <xf numFmtId="0" fontId="7" fillId="5" borderId="14" xfId="0" applyFont="1" applyFill="1" applyBorder="1" applyAlignment="1" applyProtection="1">
      <alignment horizontal="center" vertical="top" wrapText="1"/>
    </xf>
    <xf numFmtId="0" fontId="7" fillId="5" borderId="15" xfId="0" applyFont="1" applyFill="1" applyBorder="1" applyAlignment="1" applyProtection="1">
      <alignment horizontal="center" vertical="top" wrapText="1"/>
    </xf>
    <xf numFmtId="0" fontId="7" fillId="5" borderId="53" xfId="0" applyFont="1" applyFill="1" applyBorder="1" applyAlignment="1" applyProtection="1">
      <alignment horizontal="center" vertical="top" wrapText="1"/>
    </xf>
    <xf numFmtId="0" fontId="7" fillId="5" borderId="54" xfId="0" applyFont="1" applyFill="1" applyBorder="1" applyAlignment="1" applyProtection="1">
      <alignment horizontal="center" vertical="top" wrapText="1"/>
    </xf>
    <xf numFmtId="0" fontId="7" fillId="5" borderId="55" xfId="0" applyFont="1" applyFill="1" applyBorder="1" applyAlignment="1" applyProtection="1">
      <alignment horizontal="center" vertical="top" wrapText="1"/>
    </xf>
    <xf numFmtId="0" fontId="17" fillId="5" borderId="60" xfId="0" applyFont="1" applyFill="1" applyBorder="1" applyAlignment="1" applyProtection="1">
      <alignment horizontal="center" vertical="top" wrapText="1"/>
    </xf>
    <xf numFmtId="0" fontId="10" fillId="5" borderId="6" xfId="0" applyFont="1" applyFill="1" applyBorder="1" applyAlignment="1" applyProtection="1">
      <alignment horizontal="center" vertical="center" wrapText="1"/>
    </xf>
    <xf numFmtId="0" fontId="10" fillId="5" borderId="56" xfId="0" applyFont="1" applyFill="1" applyBorder="1" applyAlignment="1" applyProtection="1">
      <alignment horizontal="center" vertical="center" wrapText="1"/>
    </xf>
    <xf numFmtId="0" fontId="10" fillId="5" borderId="3" xfId="0" applyFont="1" applyFill="1" applyBorder="1" applyAlignment="1" applyProtection="1">
      <alignment horizontal="center" vertical="center" wrapText="1"/>
    </xf>
    <xf numFmtId="169" fontId="15" fillId="0" borderId="2" xfId="0" applyNumberFormat="1" applyFont="1" applyBorder="1" applyAlignment="1" applyProtection="1">
      <alignment vertical="center" wrapText="1"/>
    </xf>
    <xf numFmtId="169" fontId="14" fillId="0" borderId="2" xfId="0" applyNumberFormat="1" applyFont="1" applyBorder="1" applyAlignment="1" applyProtection="1">
      <alignment horizontal="center" vertical="center" wrapText="1"/>
    </xf>
    <xf numFmtId="0" fontId="15" fillId="5" borderId="6" xfId="0" applyFont="1" applyFill="1" applyBorder="1" applyAlignment="1" applyProtection="1">
      <alignment horizontal="center" vertical="top" wrapText="1"/>
    </xf>
    <xf numFmtId="0" fontId="15" fillId="5" borderId="56" xfId="0" applyFont="1" applyFill="1" applyBorder="1" applyAlignment="1" applyProtection="1">
      <alignment horizontal="center" vertical="top" wrapText="1"/>
    </xf>
    <xf numFmtId="0" fontId="15" fillId="5" borderId="47" xfId="0" applyFont="1" applyFill="1" applyBorder="1" applyAlignment="1" applyProtection="1">
      <alignment horizontal="center" vertical="top" wrapText="1"/>
    </xf>
    <xf numFmtId="0" fontId="32" fillId="2" borderId="0" xfId="0" applyFont="1" applyFill="1" applyBorder="1" applyAlignment="1" applyProtection="1">
      <alignment horizontal="center" vertical="top" wrapText="1"/>
    </xf>
    <xf numFmtId="0" fontId="28" fillId="0" borderId="61" xfId="0" applyFont="1" applyBorder="1" applyAlignment="1">
      <alignment horizontal="left" vertical="top" wrapText="1"/>
    </xf>
    <xf numFmtId="0" fontId="28" fillId="0" borderId="62" xfId="0" applyFont="1" applyBorder="1" applyAlignment="1">
      <alignment horizontal="left" vertical="top" wrapText="1"/>
    </xf>
    <xf numFmtId="0" fontId="28" fillId="0" borderId="63" xfId="0" applyFont="1" applyBorder="1" applyAlignment="1">
      <alignment horizontal="left" vertical="top" wrapText="1"/>
    </xf>
    <xf numFmtId="0" fontId="28" fillId="0" borderId="64" xfId="0" applyFont="1" applyBorder="1" applyAlignment="1">
      <alignment horizontal="left" vertical="top" wrapText="1"/>
    </xf>
    <xf numFmtId="0" fontId="28" fillId="0" borderId="65" xfId="0" applyFont="1" applyBorder="1" applyAlignment="1">
      <alignment horizontal="left" vertical="top" wrapText="1"/>
    </xf>
    <xf numFmtId="0" fontId="28" fillId="0" borderId="66" xfId="0" applyFont="1" applyBorder="1" applyAlignment="1">
      <alignment horizontal="left" vertical="top" wrapText="1"/>
    </xf>
    <xf numFmtId="0" fontId="28" fillId="0" borderId="61" xfId="0" applyFont="1" applyFill="1" applyBorder="1" applyAlignment="1">
      <alignment horizontal="left" vertical="top" wrapText="1"/>
    </xf>
    <xf numFmtId="0" fontId="28" fillId="0" borderId="62" xfId="0" applyFont="1" applyFill="1" applyBorder="1" applyAlignment="1">
      <alignment horizontal="left" vertical="top" wrapText="1"/>
    </xf>
    <xf numFmtId="0" fontId="28" fillId="0" borderId="63" xfId="0" applyFont="1" applyFill="1" applyBorder="1" applyAlignment="1">
      <alignment horizontal="left" vertical="top" wrapText="1"/>
    </xf>
    <xf numFmtId="0" fontId="17" fillId="5" borderId="67" xfId="0" applyFont="1" applyFill="1" applyBorder="1" applyAlignment="1" applyProtection="1">
      <alignment horizontal="right" vertical="center" wrapText="1"/>
    </xf>
    <xf numFmtId="49" fontId="17" fillId="5" borderId="17" xfId="0" applyNumberFormat="1" applyFont="1" applyFill="1" applyBorder="1" applyAlignment="1" applyProtection="1">
      <alignment horizontal="center" vertical="top" wrapText="1"/>
    </xf>
    <xf numFmtId="49" fontId="17" fillId="5" borderId="14" xfId="0" applyNumberFormat="1" applyFont="1" applyFill="1" applyBorder="1" applyAlignment="1" applyProtection="1">
      <alignment horizontal="center" vertical="top" wrapText="1"/>
    </xf>
    <xf numFmtId="49" fontId="17" fillId="5" borderId="60" xfId="0" applyNumberFormat="1" applyFont="1" applyFill="1" applyBorder="1" applyAlignment="1" applyProtection="1">
      <alignment horizontal="center" vertical="top" wrapText="1"/>
    </xf>
    <xf numFmtId="0" fontId="25" fillId="2" borderId="0" xfId="0" applyFont="1" applyFill="1" applyBorder="1" applyAlignment="1" applyProtection="1">
      <alignment horizontal="left" vertical="top" wrapText="1"/>
    </xf>
    <xf numFmtId="0" fontId="23" fillId="2" borderId="0" xfId="0" applyFont="1" applyFill="1" applyBorder="1" applyAlignment="1" applyProtection="1">
      <alignment horizontal="left" vertical="top" wrapText="1"/>
    </xf>
    <xf numFmtId="0" fontId="26" fillId="0" borderId="68" xfId="0" applyFont="1" applyFill="1" applyBorder="1" applyAlignment="1">
      <alignment horizontal="left" vertical="top" wrapText="1"/>
    </xf>
    <xf numFmtId="0" fontId="26" fillId="0" borderId="69" xfId="0" applyFont="1" applyFill="1" applyBorder="1" applyAlignment="1">
      <alignment horizontal="left" vertical="top" wrapText="1"/>
    </xf>
    <xf numFmtId="0" fontId="26" fillId="0" borderId="70" xfId="0" applyFont="1" applyFill="1" applyBorder="1" applyAlignment="1">
      <alignment horizontal="left" vertical="top" wrapText="1"/>
    </xf>
    <xf numFmtId="0" fontId="33" fillId="8" borderId="17" xfId="0" applyFont="1" applyFill="1" applyBorder="1" applyAlignment="1" applyProtection="1">
      <alignment horizontal="center" vertical="top" wrapText="1"/>
      <protection locked="0"/>
    </xf>
    <xf numFmtId="0" fontId="34" fillId="8" borderId="14" xfId="0" applyFont="1" applyFill="1" applyBorder="1" applyAlignment="1" applyProtection="1">
      <alignment horizontal="center" vertical="top" wrapText="1"/>
      <protection locked="0"/>
    </xf>
    <xf numFmtId="0" fontId="34" fillId="8" borderId="15" xfId="0" applyFont="1" applyFill="1" applyBorder="1" applyAlignment="1" applyProtection="1">
      <alignment horizontal="center" vertical="top" wrapText="1"/>
      <protection locked="0"/>
    </xf>
  </cellXfs>
  <cellStyles count="5">
    <cellStyle name="Comma" xfId="1" builtinId="3"/>
    <cellStyle name="Currency" xfId="2" builtinId="4"/>
    <cellStyle name="Hyperlink" xfId="3" builtinId="8"/>
    <cellStyle name="Normal" xfId="0" builtinId="0"/>
    <cellStyle name="Percent" xfId="4" builtinId="5"/>
  </cellStyles>
  <dxfs count="16">
    <dxf>
      <font>
        <condense val="0"/>
        <extend val="0"/>
        <color auto="1"/>
      </font>
      <fill>
        <patternFill>
          <bgColor indexed="11"/>
        </patternFill>
      </fill>
    </dxf>
    <dxf>
      <font>
        <condense val="0"/>
        <extend val="0"/>
        <color auto="1"/>
      </font>
      <fill>
        <patternFill>
          <bgColor indexed="10"/>
        </patternFill>
      </fill>
    </dxf>
    <dxf>
      <font>
        <condense val="0"/>
        <extend val="0"/>
        <color auto="1"/>
      </font>
      <fill>
        <patternFill>
          <bgColor indexed="63"/>
        </patternFill>
      </fill>
    </dxf>
    <dxf>
      <font>
        <condense val="0"/>
        <extend val="0"/>
        <color auto="1"/>
      </font>
      <fill>
        <patternFill>
          <bgColor indexed="63"/>
        </patternFill>
      </fill>
    </dxf>
    <dxf>
      <fill>
        <patternFill>
          <bgColor indexed="10"/>
        </patternFill>
      </fill>
    </dxf>
    <dxf>
      <font>
        <condense val="0"/>
        <extend val="0"/>
        <color auto="1"/>
      </font>
      <fill>
        <patternFill>
          <bgColor indexed="11"/>
        </patternFill>
      </fill>
    </dxf>
    <dxf>
      <font>
        <b/>
        <i val="0"/>
        <condense val="0"/>
        <extend val="0"/>
        <color auto="1"/>
      </font>
      <fill>
        <patternFill>
          <bgColor indexed="10"/>
        </patternFill>
      </fill>
    </dxf>
    <dxf>
      <font>
        <condense val="0"/>
        <extend val="0"/>
        <color auto="1"/>
      </font>
      <fill>
        <patternFill>
          <bgColor indexed="11"/>
        </patternFill>
      </fill>
    </dxf>
    <dxf>
      <fill>
        <patternFill>
          <bgColor indexed="10"/>
        </patternFill>
      </fill>
    </dxf>
    <dxf>
      <font>
        <condense val="0"/>
        <extend val="0"/>
        <color auto="1"/>
      </font>
      <fill>
        <patternFill>
          <bgColor indexed="11"/>
        </patternFill>
      </fill>
    </dxf>
    <dxf>
      <font>
        <condense val="0"/>
        <extend val="0"/>
        <color auto="1"/>
      </font>
      <fill>
        <patternFill>
          <bgColor indexed="10"/>
        </patternFill>
      </fill>
    </dxf>
    <dxf>
      <fill>
        <patternFill>
          <bgColor indexed="11"/>
        </patternFill>
      </fill>
    </dxf>
    <dxf>
      <fill>
        <patternFill>
          <bgColor indexed="10"/>
        </patternFill>
      </fill>
    </dxf>
    <dxf>
      <font>
        <condense val="0"/>
        <extend val="0"/>
        <color auto="1"/>
      </font>
      <fill>
        <patternFill>
          <bgColor indexed="63"/>
        </patternFill>
      </fill>
    </dxf>
    <dxf>
      <font>
        <condense val="0"/>
        <extend val="0"/>
        <color auto="1"/>
      </font>
      <fill>
        <patternFill>
          <bgColor indexed="11"/>
        </patternFill>
      </fill>
    </dxf>
    <dxf>
      <font>
        <condense val="0"/>
        <extend val="0"/>
        <color auto="1"/>
      </font>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Phasewise Efforts variance %</a:t>
            </a:r>
          </a:p>
        </c:rich>
      </c:tx>
      <c:layout>
        <c:manualLayout>
          <c:xMode val="edge"/>
          <c:yMode val="edge"/>
          <c:x val="0.28859060402684567"/>
          <c:y val="1.8518518518518517E-2"/>
        </c:manualLayout>
      </c:layout>
      <c:overlay val="0"/>
      <c:spPr>
        <a:noFill/>
        <a:ln w="25400">
          <a:noFill/>
        </a:ln>
      </c:spPr>
    </c:title>
    <c:autoTitleDeleted val="0"/>
    <c:plotArea>
      <c:layout>
        <c:manualLayout>
          <c:layoutTarget val="inner"/>
          <c:xMode val="edge"/>
          <c:yMode val="edge"/>
          <c:x val="7.3825503355704702E-2"/>
          <c:y val="0.10370407879079424"/>
          <c:w val="0.89261744966442957"/>
          <c:h val="0.63333562404377908"/>
        </c:manualLayout>
      </c:layout>
      <c:lineChart>
        <c:grouping val="standard"/>
        <c:varyColors val="0"/>
        <c:ser>
          <c:idx val="0"/>
          <c:order val="0"/>
          <c:spPr>
            <a:ln w="25400">
              <a:solidFill>
                <a:srgbClr val="000080"/>
              </a:solidFill>
              <a:prstDash val="solid"/>
            </a:ln>
          </c:spPr>
          <c:marker>
            <c:symbol val="diamond"/>
            <c:size val="6"/>
            <c:spPr>
              <a:solidFill>
                <a:srgbClr val="333399"/>
              </a:solidFill>
              <a:ln>
                <a:solidFill>
                  <a:srgbClr val="000080"/>
                </a:solidFill>
                <a:prstDash val="solid"/>
              </a:ln>
            </c:spPr>
          </c:marker>
          <c:cat>
            <c:strRef>
              <c:f>'Effort and Schedule'!$A$7:$A$16</c:f>
              <c:strCache>
                <c:ptCount val="10"/>
                <c:pt idx="0">
                  <c:v>Req</c:v>
                </c:pt>
                <c:pt idx="1">
                  <c:v>HLD</c:v>
                </c:pt>
                <c:pt idx="2">
                  <c:v>DLD</c:v>
                </c:pt>
                <c:pt idx="3">
                  <c:v>PS</c:v>
                </c:pt>
                <c:pt idx="4">
                  <c:v>Testcase Preparation</c:v>
                </c:pt>
                <c:pt idx="5">
                  <c:v>Coding</c:v>
                </c:pt>
                <c:pt idx="6">
                  <c:v>Unit Testing</c:v>
                </c:pt>
                <c:pt idx="7">
                  <c:v>Int Testing</c:v>
                </c:pt>
                <c:pt idx="8">
                  <c:v>Sys Testing</c:v>
                </c:pt>
                <c:pt idx="9">
                  <c:v>Rel &amp; Impl</c:v>
                </c:pt>
              </c:strCache>
            </c:strRef>
          </c:cat>
          <c:val>
            <c:numRef>
              <c:f>'Effort and Schedule'!$E$7:$E$16</c:f>
              <c:numCache>
                <c:formatCode>0.00</c:formatCode>
                <c:ptCount val="10"/>
                <c:pt idx="0">
                  <c:v>-86.702127659574472</c:v>
                </c:pt>
                <c:pt idx="1">
                  <c:v>-94.548286604361365</c:v>
                </c:pt>
                <c:pt idx="2">
                  <c:v>-98.133333333333326</c:v>
                </c:pt>
                <c:pt idx="3">
                  <c:v>-97.61904761904762</c:v>
                </c:pt>
                <c:pt idx="4">
                  <c:v>-99.333333333333329</c:v>
                </c:pt>
                <c:pt idx="5">
                  <c:v>-98.336452484924109</c:v>
                </c:pt>
                <c:pt idx="6">
                  <c:v>-99.045977011494259</c:v>
                </c:pt>
                <c:pt idx="7">
                  <c:v>-99.011904761904759</c:v>
                </c:pt>
                <c:pt idx="8">
                  <c:v>-98.975308641975303</c:v>
                </c:pt>
                <c:pt idx="9">
                  <c:v>0</c:v>
                </c:pt>
              </c:numCache>
            </c:numRef>
          </c:val>
          <c:smooth val="0"/>
          <c:extLst>
            <c:ext xmlns:c16="http://schemas.microsoft.com/office/drawing/2014/chart" uri="{C3380CC4-5D6E-409C-BE32-E72D297353CC}">
              <c16:uniqueId val="{00000000-ECB6-4DA6-8565-1F488A69C526}"/>
            </c:ext>
          </c:extLst>
        </c:ser>
        <c:dLbls>
          <c:showLegendKey val="0"/>
          <c:showVal val="0"/>
          <c:showCatName val="0"/>
          <c:showSerName val="0"/>
          <c:showPercent val="0"/>
          <c:showBubbleSize val="0"/>
        </c:dLbls>
        <c:marker val="1"/>
        <c:smooth val="0"/>
        <c:axId val="456900976"/>
        <c:axId val="1"/>
      </c:lineChart>
      <c:catAx>
        <c:axId val="456900976"/>
        <c:scaling>
          <c:orientation val="minMax"/>
        </c:scaling>
        <c:delete val="0"/>
        <c:axPos val="b"/>
        <c:majorGridlines>
          <c:spPr>
            <a:ln w="3175">
              <a:solidFill>
                <a:srgbClr val="969696"/>
              </a:solidFill>
              <a:prstDash val="sysDash"/>
            </a:ln>
          </c:spPr>
        </c:majorGridlines>
        <c:numFmt formatCode="General" sourceLinked="1"/>
        <c:majorTickMark val="out"/>
        <c:minorTickMark val="none"/>
        <c:tickLblPos val="nextTo"/>
        <c:spPr>
          <a:ln w="25400">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1"/>
        <c:crosses val="autoZero"/>
        <c:auto val="1"/>
        <c:lblAlgn val="ctr"/>
        <c:lblOffset val="100"/>
        <c:tickLblSkip val="1"/>
        <c:tickMarkSkip val="1"/>
        <c:noMultiLvlLbl val="0"/>
      </c:catAx>
      <c:valAx>
        <c:axId val="1"/>
        <c:scaling>
          <c:orientation val="minMax"/>
        </c:scaling>
        <c:delete val="0"/>
        <c:axPos val="l"/>
        <c:numFmt formatCode="0;[Red]0" sourceLinked="0"/>
        <c:majorTickMark val="out"/>
        <c:minorTickMark val="none"/>
        <c:tickLblPos val="nextTo"/>
        <c:spPr>
          <a:ln w="25400">
            <a:solidFill>
              <a:srgbClr val="80808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56900976"/>
        <c:crosses val="autoZero"/>
        <c:crossBetween val="between"/>
        <c:majorUnit val="10"/>
        <c:minorUnit val="5"/>
      </c:valAx>
      <c:spPr>
        <a:solidFill>
          <a:srgbClr val="FFFFFF"/>
        </a:solid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Cause Pareto Chart - Causewise Impact %</a:t>
            </a:r>
          </a:p>
        </c:rich>
      </c:tx>
      <c:layout>
        <c:manualLayout>
          <c:xMode val="edge"/>
          <c:yMode val="edge"/>
          <c:x val="0.24915860264941628"/>
          <c:y val="1.9762845849802372E-2"/>
        </c:manualLayout>
      </c:layout>
      <c:overlay val="0"/>
      <c:spPr>
        <a:noFill/>
        <a:ln w="25400">
          <a:noFill/>
        </a:ln>
      </c:spPr>
    </c:title>
    <c:autoTitleDeleted val="0"/>
    <c:plotArea>
      <c:layout>
        <c:manualLayout>
          <c:layoutTarget val="inner"/>
          <c:xMode val="edge"/>
          <c:yMode val="edge"/>
          <c:x val="6.3973169147808068E-2"/>
          <c:y val="0.1699608023267708"/>
          <c:w val="0.92592744819195894"/>
          <c:h val="0.69565351650027119"/>
        </c:manualLayout>
      </c:layout>
      <c:barChart>
        <c:barDir val="col"/>
        <c:grouping val="clustered"/>
        <c:varyColors val="0"/>
        <c:ser>
          <c:idx val="1"/>
          <c:order val="0"/>
          <c:spPr>
            <a:solidFill>
              <a:srgbClr val="993366"/>
            </a:solidFill>
            <a:ln w="12700">
              <a:solidFill>
                <a:srgbClr val="C0C0C0"/>
              </a:solidFill>
              <a:prstDash val="solid"/>
            </a:ln>
          </c:spPr>
          <c:invertIfNegative val="0"/>
          <c:cat>
            <c:strRef>
              <c:f>'Defect Data'!$J$30:$J$36</c:f>
              <c:strCache>
                <c:ptCount val="7"/>
                <c:pt idx="0">
                  <c:v>IK</c:v>
                </c:pt>
                <c:pt idx="1">
                  <c:v>IS</c:v>
                </c:pt>
                <c:pt idx="2">
                  <c:v>OV</c:v>
                </c:pt>
                <c:pt idx="3">
                  <c:v>CO</c:v>
                </c:pt>
                <c:pt idx="4">
                  <c:v>UN</c:v>
                </c:pt>
                <c:pt idx="5">
                  <c:v>EX</c:v>
                </c:pt>
                <c:pt idx="6">
                  <c:v>NA</c:v>
                </c:pt>
              </c:strCache>
            </c:strRef>
          </c:cat>
          <c:val>
            <c:numRef>
              <c:f>'Defect Data'!$K$30:$K$36</c:f>
              <c:numCache>
                <c:formatCode>0.00;[Red]0.00</c:formatCode>
                <c:ptCount val="7"/>
                <c:pt idx="0">
                  <c:v>24.324324324324326</c:v>
                </c:pt>
                <c:pt idx="1">
                  <c:v>24.324324324324326</c:v>
                </c:pt>
                <c:pt idx="2">
                  <c:v>21.621621621621621</c:v>
                </c:pt>
                <c:pt idx="3">
                  <c:v>18.918918918918919</c:v>
                </c:pt>
                <c:pt idx="4">
                  <c:v>10.810810810810811</c:v>
                </c:pt>
                <c:pt idx="5">
                  <c:v>0</c:v>
                </c:pt>
                <c:pt idx="6">
                  <c:v>0</c:v>
                </c:pt>
              </c:numCache>
            </c:numRef>
          </c:val>
          <c:extLst>
            <c:ext xmlns:c16="http://schemas.microsoft.com/office/drawing/2014/chart" uri="{C3380CC4-5D6E-409C-BE32-E72D297353CC}">
              <c16:uniqueId val="{00000000-AEB4-45CE-8334-5FC84F113B2E}"/>
            </c:ext>
          </c:extLst>
        </c:ser>
        <c:dLbls>
          <c:showLegendKey val="0"/>
          <c:showVal val="0"/>
          <c:showCatName val="0"/>
          <c:showSerName val="0"/>
          <c:showPercent val="0"/>
          <c:showBubbleSize val="0"/>
        </c:dLbls>
        <c:gapWidth val="150"/>
        <c:axId val="456907376"/>
        <c:axId val="1"/>
      </c:barChart>
      <c:lineChart>
        <c:grouping val="standard"/>
        <c:varyColors val="0"/>
        <c:ser>
          <c:idx val="0"/>
          <c:order val="1"/>
          <c:spPr>
            <a:ln w="25400">
              <a:solidFill>
                <a:srgbClr val="FF6600"/>
              </a:solidFill>
              <a:prstDash val="solid"/>
            </a:ln>
          </c:spPr>
          <c:marker>
            <c:symbol val="square"/>
            <c:size val="5"/>
            <c:spPr>
              <a:solidFill>
                <a:srgbClr val="FFFFFF"/>
              </a:solidFill>
              <a:ln>
                <a:solidFill>
                  <a:srgbClr val="000000"/>
                </a:solidFill>
                <a:prstDash val="solid"/>
              </a:ln>
            </c:spPr>
          </c:marker>
          <c:dLbls>
            <c:numFmt formatCode="0.0;[Red]0.0" sourceLinked="0"/>
            <c:spPr>
              <a:noFill/>
              <a:ln w="25400">
                <a:noFill/>
              </a:ln>
            </c:spPr>
            <c:txPr>
              <a:bodyPr wrap="square" lIns="38100" tIns="19050" rIns="38100" bIns="19050" anchor="ctr">
                <a:spAutoFit/>
              </a:bodyPr>
              <a:lstStyle/>
              <a:p>
                <a:pPr>
                  <a:defRPr sz="8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Data'!$J$30:$J$36</c:f>
              <c:strCache>
                <c:ptCount val="7"/>
                <c:pt idx="0">
                  <c:v>IK</c:v>
                </c:pt>
                <c:pt idx="1">
                  <c:v>IS</c:v>
                </c:pt>
                <c:pt idx="2">
                  <c:v>OV</c:v>
                </c:pt>
                <c:pt idx="3">
                  <c:v>CO</c:v>
                </c:pt>
                <c:pt idx="4">
                  <c:v>UN</c:v>
                </c:pt>
                <c:pt idx="5">
                  <c:v>EX</c:v>
                </c:pt>
                <c:pt idx="6">
                  <c:v>NA</c:v>
                </c:pt>
              </c:strCache>
            </c:strRef>
          </c:cat>
          <c:val>
            <c:numRef>
              <c:f>'Defect Data'!$L$30:$L$36</c:f>
              <c:numCache>
                <c:formatCode>0.00;[Red]0.00</c:formatCode>
                <c:ptCount val="7"/>
                <c:pt idx="0">
                  <c:v>24.324324324324326</c:v>
                </c:pt>
                <c:pt idx="1">
                  <c:v>48.648648648648653</c:v>
                </c:pt>
                <c:pt idx="2">
                  <c:v>70.270270270270274</c:v>
                </c:pt>
                <c:pt idx="3">
                  <c:v>89.189189189189193</c:v>
                </c:pt>
                <c:pt idx="4">
                  <c:v>100</c:v>
                </c:pt>
                <c:pt idx="5">
                  <c:v>100</c:v>
                </c:pt>
                <c:pt idx="6">
                  <c:v>100</c:v>
                </c:pt>
              </c:numCache>
            </c:numRef>
          </c:val>
          <c:smooth val="0"/>
          <c:extLst>
            <c:ext xmlns:c16="http://schemas.microsoft.com/office/drawing/2014/chart" uri="{C3380CC4-5D6E-409C-BE32-E72D297353CC}">
              <c16:uniqueId val="{00000001-AEB4-45CE-8334-5FC84F113B2E}"/>
            </c:ext>
          </c:extLst>
        </c:ser>
        <c:dLbls>
          <c:showLegendKey val="0"/>
          <c:showVal val="0"/>
          <c:showCatName val="0"/>
          <c:showSerName val="0"/>
          <c:showPercent val="0"/>
          <c:showBubbleSize val="0"/>
        </c:dLbls>
        <c:marker val="1"/>
        <c:smooth val="0"/>
        <c:axId val="456907376"/>
        <c:axId val="1"/>
      </c:lineChart>
      <c:catAx>
        <c:axId val="456907376"/>
        <c:scaling>
          <c:orientation val="minMax"/>
        </c:scaling>
        <c:delete val="0"/>
        <c:axPos val="b"/>
        <c:numFmt formatCode="General" sourceLinked="1"/>
        <c:majorTickMark val="cross"/>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1"/>
        <c:crossesAt val="0"/>
        <c:auto val="0"/>
        <c:lblAlgn val="ctr"/>
        <c:lblOffset val="100"/>
        <c:tickLblSkip val="1"/>
        <c:tickMarkSkip val="1"/>
        <c:noMultiLvlLbl val="0"/>
      </c:catAx>
      <c:valAx>
        <c:axId val="1"/>
        <c:scaling>
          <c:orientation val="minMax"/>
          <c:max val="100"/>
          <c:min val="0"/>
        </c:scaling>
        <c:delete val="0"/>
        <c:axPos val="l"/>
        <c:majorGridlines>
          <c:spPr>
            <a:ln w="3175">
              <a:solidFill>
                <a:srgbClr val="C0C0C0"/>
              </a:solidFill>
              <a:prstDash val="sysDash"/>
            </a:ln>
          </c:spPr>
        </c:majorGridlines>
        <c:numFmt formatCode="0;[Red]0" sourceLinked="0"/>
        <c:majorTickMark val="cross"/>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56907376"/>
        <c:crosses val="autoZero"/>
        <c:crossBetween val="between"/>
        <c:majorUnit val="25"/>
        <c:minorUnit val="10"/>
      </c:valAx>
      <c:spPr>
        <a:solidFill>
          <a:srgbClr val="FFFFFF"/>
        </a:solidFill>
        <a:ln w="12700">
          <a:solidFill>
            <a:srgbClr val="C0C0C0"/>
          </a:solidFill>
          <a:prstDash val="solid"/>
        </a:ln>
      </c:spPr>
    </c:plotArea>
    <c:plotVisOnly val="1"/>
    <c:dispBlanksAs val="gap"/>
    <c:showDLblsOverMax val="0"/>
  </c:chart>
  <c:spPr>
    <a:solidFill>
      <a:srgbClr val="CC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Defects Trend - Causewise %</a:t>
            </a:r>
          </a:p>
        </c:rich>
      </c:tx>
      <c:layout>
        <c:manualLayout>
          <c:xMode val="edge"/>
          <c:yMode val="edge"/>
          <c:x val="0.15054754104642029"/>
          <c:y val="2.2421524663677129E-2"/>
        </c:manualLayout>
      </c:layout>
      <c:overlay val="0"/>
      <c:spPr>
        <a:noFill/>
        <a:ln w="25400">
          <a:noFill/>
        </a:ln>
      </c:spPr>
    </c:title>
    <c:autoTitleDeleted val="0"/>
    <c:plotArea>
      <c:layout>
        <c:manualLayout>
          <c:layoutTarget val="inner"/>
          <c:xMode val="edge"/>
          <c:yMode val="edge"/>
          <c:x val="2.8284684134015442E-2"/>
          <c:y val="9.4170609783601159E-2"/>
          <c:w val="0.96624130638459205"/>
          <c:h val="0.81614528479121007"/>
        </c:manualLayout>
      </c:layout>
      <c:lineChart>
        <c:grouping val="standard"/>
        <c:varyColors val="0"/>
        <c:ser>
          <c:idx val="0"/>
          <c:order val="0"/>
          <c:tx>
            <c:strRef>
              <c:f>Graphs!$A$5</c:f>
              <c:strCache>
                <c:ptCount val="1"/>
                <c:pt idx="0">
                  <c:v>CO</c:v>
                </c:pt>
              </c:strCache>
            </c:strRef>
          </c:tx>
          <c:spPr>
            <a:ln w="25400">
              <a:solidFill>
                <a:srgbClr val="0000FF"/>
              </a:solidFill>
              <a:prstDash val="solid"/>
            </a:ln>
          </c:spPr>
          <c:marker>
            <c:symbol val="diamond"/>
            <c:size val="7"/>
            <c:spPr>
              <a:solidFill>
                <a:srgbClr val="000080"/>
              </a:solidFill>
              <a:ln>
                <a:solidFill>
                  <a:srgbClr val="000080"/>
                </a:solidFill>
                <a:prstDash val="solid"/>
              </a:ln>
            </c:spPr>
          </c:marker>
          <c:cat>
            <c:numRef>
              <c:f>Graphs!$B$2:$AX$2</c:f>
              <c:numCache>
                <c:formatCode>m/d/yyyy</c:formatCode>
                <c:ptCount val="49"/>
                <c:pt idx="0">
                  <c:v>44098</c:v>
                </c:pt>
              </c:numCache>
            </c:numRef>
          </c:cat>
          <c:val>
            <c:numRef>
              <c:f>Graphs!$B$5:$AX$5</c:f>
              <c:numCache>
                <c:formatCode>0;[Red]0</c:formatCode>
                <c:ptCount val="49"/>
                <c:pt idx="0">
                  <c:v>8.3333333333333321</c:v>
                </c:pt>
              </c:numCache>
            </c:numRef>
          </c:val>
          <c:smooth val="1"/>
          <c:extLst>
            <c:ext xmlns:c16="http://schemas.microsoft.com/office/drawing/2014/chart" uri="{C3380CC4-5D6E-409C-BE32-E72D297353CC}">
              <c16:uniqueId val="{00000000-A3D4-49CF-90B3-A48D8FBD0356}"/>
            </c:ext>
          </c:extLst>
        </c:ser>
        <c:ser>
          <c:idx val="1"/>
          <c:order val="1"/>
          <c:tx>
            <c:strRef>
              <c:f>Graphs!$A$6</c:f>
              <c:strCache>
                <c:ptCount val="1"/>
                <c:pt idx="0">
                  <c:v>OV</c:v>
                </c:pt>
              </c:strCache>
            </c:strRef>
          </c:tx>
          <c:spPr>
            <a:ln w="25400">
              <a:solidFill>
                <a:srgbClr val="FFCC99"/>
              </a:solidFill>
              <a:prstDash val="solid"/>
            </a:ln>
          </c:spPr>
          <c:marker>
            <c:symbol val="circle"/>
            <c:size val="5"/>
            <c:spPr>
              <a:solidFill>
                <a:srgbClr val="FF6600"/>
              </a:solidFill>
              <a:ln>
                <a:solidFill>
                  <a:srgbClr val="FF6600"/>
                </a:solidFill>
                <a:prstDash val="solid"/>
              </a:ln>
            </c:spPr>
          </c:marker>
          <c:cat>
            <c:numRef>
              <c:f>Graphs!$B$2:$AX$2</c:f>
              <c:numCache>
                <c:formatCode>m/d/yyyy</c:formatCode>
                <c:ptCount val="49"/>
                <c:pt idx="0">
                  <c:v>44098</c:v>
                </c:pt>
              </c:numCache>
            </c:numRef>
          </c:cat>
          <c:val>
            <c:numRef>
              <c:f>Graphs!$B$6:$AX$6</c:f>
              <c:numCache>
                <c:formatCode>0;[Red]0</c:formatCode>
                <c:ptCount val="49"/>
                <c:pt idx="0">
                  <c:v>8.3333333333333321</c:v>
                </c:pt>
              </c:numCache>
            </c:numRef>
          </c:val>
          <c:smooth val="1"/>
          <c:extLst>
            <c:ext xmlns:c16="http://schemas.microsoft.com/office/drawing/2014/chart" uri="{C3380CC4-5D6E-409C-BE32-E72D297353CC}">
              <c16:uniqueId val="{00000001-A3D4-49CF-90B3-A48D8FBD0356}"/>
            </c:ext>
          </c:extLst>
        </c:ser>
        <c:ser>
          <c:idx val="2"/>
          <c:order val="2"/>
          <c:tx>
            <c:strRef>
              <c:f>Graphs!$A$7</c:f>
              <c:strCache>
                <c:ptCount val="1"/>
                <c:pt idx="0">
                  <c:v>UN</c:v>
                </c:pt>
              </c:strCache>
            </c:strRef>
          </c:tx>
          <c:spPr>
            <a:ln w="25400">
              <a:solidFill>
                <a:srgbClr val="FF0000"/>
              </a:solidFill>
              <a:prstDash val="solid"/>
            </a:ln>
          </c:spPr>
          <c:marker>
            <c:symbol val="diamond"/>
            <c:size val="5"/>
            <c:spPr>
              <a:solidFill>
                <a:srgbClr val="00FF00"/>
              </a:solidFill>
              <a:ln>
                <a:solidFill>
                  <a:srgbClr val="00FF00"/>
                </a:solidFill>
                <a:prstDash val="solid"/>
              </a:ln>
            </c:spPr>
          </c:marker>
          <c:cat>
            <c:numRef>
              <c:f>Graphs!$B$2:$AX$2</c:f>
              <c:numCache>
                <c:formatCode>m/d/yyyy</c:formatCode>
                <c:ptCount val="49"/>
                <c:pt idx="0">
                  <c:v>44098</c:v>
                </c:pt>
              </c:numCache>
            </c:numRef>
          </c:cat>
          <c:val>
            <c:numRef>
              <c:f>Graphs!$B$7:$AX$7</c:f>
              <c:numCache>
                <c:formatCode>0;[Red]0</c:formatCode>
                <c:ptCount val="49"/>
                <c:pt idx="0">
                  <c:v>16.666666666666664</c:v>
                </c:pt>
              </c:numCache>
            </c:numRef>
          </c:val>
          <c:smooth val="1"/>
          <c:extLst>
            <c:ext xmlns:c16="http://schemas.microsoft.com/office/drawing/2014/chart" uri="{C3380CC4-5D6E-409C-BE32-E72D297353CC}">
              <c16:uniqueId val="{00000002-A3D4-49CF-90B3-A48D8FBD0356}"/>
            </c:ext>
          </c:extLst>
        </c:ser>
        <c:ser>
          <c:idx val="3"/>
          <c:order val="3"/>
          <c:tx>
            <c:strRef>
              <c:f>Graphs!$A$8</c:f>
              <c:strCache>
                <c:ptCount val="1"/>
                <c:pt idx="0">
                  <c:v>EX</c:v>
                </c:pt>
              </c:strCache>
            </c:strRef>
          </c:tx>
          <c:spPr>
            <a:ln w="25400">
              <a:solidFill>
                <a:srgbClr val="99CC00"/>
              </a:solidFill>
              <a:prstDash val="solid"/>
            </a:ln>
          </c:spPr>
          <c:marker>
            <c:symbol val="square"/>
            <c:size val="5"/>
            <c:spPr>
              <a:solidFill>
                <a:srgbClr val="FFFF00"/>
              </a:solidFill>
              <a:ln>
                <a:solidFill>
                  <a:srgbClr val="FFFF00"/>
                </a:solidFill>
                <a:prstDash val="solid"/>
              </a:ln>
            </c:spPr>
          </c:marker>
          <c:cat>
            <c:numRef>
              <c:f>Graphs!$B$2:$AX$2</c:f>
              <c:numCache>
                <c:formatCode>m/d/yyyy</c:formatCode>
                <c:ptCount val="49"/>
                <c:pt idx="0">
                  <c:v>44098</c:v>
                </c:pt>
              </c:numCache>
            </c:numRef>
          </c:cat>
          <c:val>
            <c:numRef>
              <c:f>Graphs!$B$8:$AX$8</c:f>
              <c:numCache>
                <c:formatCode>0;[Red]0</c:formatCode>
                <c:ptCount val="49"/>
                <c:pt idx="0">
                  <c:v>0</c:v>
                </c:pt>
              </c:numCache>
            </c:numRef>
          </c:val>
          <c:smooth val="1"/>
          <c:extLst>
            <c:ext xmlns:c16="http://schemas.microsoft.com/office/drawing/2014/chart" uri="{C3380CC4-5D6E-409C-BE32-E72D297353CC}">
              <c16:uniqueId val="{00000003-A3D4-49CF-90B3-A48D8FBD0356}"/>
            </c:ext>
          </c:extLst>
        </c:ser>
        <c:ser>
          <c:idx val="4"/>
          <c:order val="4"/>
          <c:tx>
            <c:strRef>
              <c:f>Graphs!$A$9</c:f>
              <c:strCache>
                <c:ptCount val="1"/>
                <c:pt idx="0">
                  <c:v>IK</c:v>
                </c:pt>
              </c:strCache>
            </c:strRef>
          </c:tx>
          <c:spPr>
            <a:ln w="25400">
              <a:solidFill>
                <a:srgbClr val="FF00FF"/>
              </a:solidFill>
              <a:prstDash val="solid"/>
            </a:ln>
          </c:spPr>
          <c:marker>
            <c:symbol val="triangle"/>
            <c:size val="5"/>
            <c:spPr>
              <a:solidFill>
                <a:srgbClr val="800080"/>
              </a:solidFill>
              <a:ln>
                <a:solidFill>
                  <a:srgbClr val="800080"/>
                </a:solidFill>
                <a:prstDash val="solid"/>
              </a:ln>
            </c:spPr>
          </c:marker>
          <c:cat>
            <c:numRef>
              <c:f>Graphs!$B$2:$AX$2</c:f>
              <c:numCache>
                <c:formatCode>m/d/yyyy</c:formatCode>
                <c:ptCount val="49"/>
                <c:pt idx="0">
                  <c:v>44098</c:v>
                </c:pt>
              </c:numCache>
            </c:numRef>
          </c:cat>
          <c:val>
            <c:numRef>
              <c:f>Graphs!$B$9:$AX$9</c:f>
              <c:numCache>
                <c:formatCode>0;[Red]0</c:formatCode>
                <c:ptCount val="49"/>
                <c:pt idx="0">
                  <c:v>25</c:v>
                </c:pt>
              </c:numCache>
            </c:numRef>
          </c:val>
          <c:smooth val="1"/>
          <c:extLst>
            <c:ext xmlns:c16="http://schemas.microsoft.com/office/drawing/2014/chart" uri="{C3380CC4-5D6E-409C-BE32-E72D297353CC}">
              <c16:uniqueId val="{00000004-A3D4-49CF-90B3-A48D8FBD0356}"/>
            </c:ext>
          </c:extLst>
        </c:ser>
        <c:ser>
          <c:idx val="5"/>
          <c:order val="5"/>
          <c:tx>
            <c:strRef>
              <c:f>Graphs!$A$10</c:f>
              <c:strCache>
                <c:ptCount val="1"/>
                <c:pt idx="0">
                  <c:v>IS</c:v>
                </c:pt>
              </c:strCache>
            </c:strRef>
          </c:tx>
          <c:spPr>
            <a:ln w="25400">
              <a:solidFill>
                <a:srgbClr val="800000"/>
              </a:solidFill>
              <a:prstDash val="solid"/>
            </a:ln>
          </c:spPr>
          <c:marker>
            <c:symbol val="diamond"/>
            <c:size val="5"/>
            <c:spPr>
              <a:solidFill>
                <a:srgbClr val="800000"/>
              </a:solidFill>
              <a:ln>
                <a:solidFill>
                  <a:srgbClr val="800000"/>
                </a:solidFill>
                <a:prstDash val="solid"/>
              </a:ln>
            </c:spPr>
          </c:marker>
          <c:cat>
            <c:numRef>
              <c:f>Graphs!$B$2:$AX$2</c:f>
              <c:numCache>
                <c:formatCode>m/d/yyyy</c:formatCode>
                <c:ptCount val="49"/>
                <c:pt idx="0">
                  <c:v>44098</c:v>
                </c:pt>
              </c:numCache>
            </c:numRef>
          </c:cat>
          <c:val>
            <c:numRef>
              <c:f>Graphs!$B$10:$AX$10</c:f>
              <c:numCache>
                <c:formatCode>0;[Red]0</c:formatCode>
                <c:ptCount val="49"/>
                <c:pt idx="0">
                  <c:v>41.666666666666671</c:v>
                </c:pt>
              </c:numCache>
            </c:numRef>
          </c:val>
          <c:smooth val="1"/>
          <c:extLst>
            <c:ext xmlns:c16="http://schemas.microsoft.com/office/drawing/2014/chart" uri="{C3380CC4-5D6E-409C-BE32-E72D297353CC}">
              <c16:uniqueId val="{00000005-A3D4-49CF-90B3-A48D8FBD0356}"/>
            </c:ext>
          </c:extLst>
        </c:ser>
        <c:ser>
          <c:idx val="6"/>
          <c:order val="6"/>
          <c:tx>
            <c:strRef>
              <c:f>Graphs!$A$11</c:f>
              <c:strCache>
                <c:ptCount val="1"/>
                <c:pt idx="0">
                  <c:v>NA</c:v>
                </c:pt>
              </c:strCache>
            </c:strRef>
          </c:tx>
          <c:spPr>
            <a:ln w="25400">
              <a:solidFill>
                <a:srgbClr val="008080"/>
              </a:solidFill>
              <a:prstDash val="solid"/>
            </a:ln>
          </c:spPr>
          <c:marker>
            <c:symbol val="plus"/>
            <c:size val="7"/>
            <c:spPr>
              <a:noFill/>
              <a:ln>
                <a:solidFill>
                  <a:srgbClr val="008080"/>
                </a:solidFill>
                <a:prstDash val="solid"/>
              </a:ln>
            </c:spPr>
          </c:marker>
          <c:cat>
            <c:numRef>
              <c:f>Graphs!$B$2:$AX$2</c:f>
              <c:numCache>
                <c:formatCode>m/d/yyyy</c:formatCode>
                <c:ptCount val="49"/>
                <c:pt idx="0">
                  <c:v>44098</c:v>
                </c:pt>
              </c:numCache>
            </c:numRef>
          </c:cat>
          <c:val>
            <c:numRef>
              <c:f>Graphs!$B$11:$AX$11</c:f>
              <c:numCache>
                <c:formatCode>0;[Red]0</c:formatCode>
                <c:ptCount val="49"/>
                <c:pt idx="0">
                  <c:v>0</c:v>
                </c:pt>
              </c:numCache>
            </c:numRef>
          </c:val>
          <c:smooth val="1"/>
          <c:extLst>
            <c:ext xmlns:c16="http://schemas.microsoft.com/office/drawing/2014/chart" uri="{C3380CC4-5D6E-409C-BE32-E72D297353CC}">
              <c16:uniqueId val="{00000006-A3D4-49CF-90B3-A48D8FBD0356}"/>
            </c:ext>
          </c:extLst>
        </c:ser>
        <c:dLbls>
          <c:showLegendKey val="0"/>
          <c:showVal val="0"/>
          <c:showCatName val="0"/>
          <c:showSerName val="0"/>
          <c:showPercent val="0"/>
          <c:showBubbleSize val="0"/>
        </c:dLbls>
        <c:marker val="1"/>
        <c:smooth val="0"/>
        <c:axId val="468321584"/>
        <c:axId val="1"/>
      </c:lineChart>
      <c:dateAx>
        <c:axId val="468321584"/>
        <c:scaling>
          <c:orientation val="minMax"/>
        </c:scaling>
        <c:delete val="0"/>
        <c:axPos val="b"/>
        <c:majorGridlines>
          <c:spPr>
            <a:ln w="3175">
              <a:solidFill>
                <a:srgbClr val="C0C0C0"/>
              </a:solidFill>
              <a:prstDash val="sysDash"/>
            </a:ln>
          </c:spPr>
        </c:majorGridlines>
        <c:numFmt formatCode="m/d/yyyy" sourceLinked="1"/>
        <c:majorTickMark val="out"/>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Narrow"/>
                <a:ea typeface="Arial Narrow"/>
                <a:cs typeface="Arial Narrow"/>
              </a:defRPr>
            </a:pPr>
            <a:endParaRPr lang="en-US"/>
          </a:p>
        </c:txPr>
        <c:crossAx val="1"/>
        <c:crosses val="autoZero"/>
        <c:auto val="1"/>
        <c:lblOffset val="100"/>
        <c:baseTimeUnit val="days"/>
        <c:majorUnit val="1"/>
        <c:minorUnit val="1"/>
      </c:dateAx>
      <c:valAx>
        <c:axId val="1"/>
        <c:scaling>
          <c:orientation val="minMax"/>
          <c:min val="0"/>
        </c:scaling>
        <c:delete val="0"/>
        <c:axPos val="l"/>
        <c:majorGridlines>
          <c:spPr>
            <a:ln w="3175">
              <a:solidFill>
                <a:srgbClr val="C0C0C0"/>
              </a:solidFill>
              <a:prstDash val="sysDash"/>
            </a:ln>
          </c:spPr>
        </c:majorGridlines>
        <c:numFmt formatCode="0;[Red]0" sourceLinked="1"/>
        <c:majorTickMark val="out"/>
        <c:minorTickMark val="none"/>
        <c:tickLblPos val="nextTo"/>
        <c:spPr>
          <a:ln w="25400">
            <a:solidFill>
              <a:srgbClr val="C0C0C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68321584"/>
        <c:crosses val="autoZero"/>
        <c:crossBetween val="midCat"/>
        <c:majorUnit val="10"/>
        <c:minorUnit val="5"/>
      </c:valAx>
      <c:spPr>
        <a:solidFill>
          <a:srgbClr val="FFFFFF"/>
        </a:solidFill>
        <a:ln w="12700">
          <a:solidFill>
            <a:srgbClr val="808080"/>
          </a:solidFill>
          <a:prstDash val="solid"/>
        </a:ln>
      </c:spPr>
    </c:plotArea>
    <c:legend>
      <c:legendPos val="r"/>
      <c:layout>
        <c:manualLayout>
          <c:xMode val="edge"/>
          <c:yMode val="edge"/>
          <c:x val="0.57244382700224361"/>
          <c:y val="2.7681777824334584E-2"/>
          <c:w val="0.41761410704382046"/>
          <c:h val="0.11418733352538017"/>
        </c:manualLayout>
      </c:layout>
      <c:overlay val="0"/>
      <c:spPr>
        <a:noFill/>
        <a:ln w="3175">
          <a:solidFill>
            <a:srgbClr val="C0C0C0"/>
          </a:solidFill>
          <a:prstDash val="solid"/>
        </a:ln>
      </c:spPr>
      <c:txPr>
        <a:bodyPr/>
        <a:lstStyle/>
        <a:p>
          <a:pPr>
            <a:defRPr sz="73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 Effort distribution PDLC</a:t>
            </a:r>
          </a:p>
        </c:rich>
      </c:tx>
      <c:layout>
        <c:manualLayout>
          <c:xMode val="edge"/>
          <c:yMode val="edge"/>
          <c:x val="0.57113927832191713"/>
          <c:y val="1.8315018315018316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6.5040779504850071E-2"/>
          <c:y val="0.24542212333348834"/>
          <c:w val="0.71951362327240387"/>
          <c:h val="0.51648536403017697"/>
        </c:manualLayout>
      </c:layout>
      <c:pie3DChart>
        <c:varyColors val="1"/>
        <c:ser>
          <c:idx val="0"/>
          <c:order val="0"/>
          <c:spPr>
            <a:solidFill>
              <a:srgbClr val="9999FF"/>
            </a:solidFill>
            <a:ln w="12700">
              <a:solidFill>
                <a:srgbClr val="969696"/>
              </a:solidFill>
              <a:prstDash val="solid"/>
            </a:ln>
          </c:spPr>
          <c:explosion val="25"/>
          <c:dPt>
            <c:idx val="0"/>
            <c:bubble3D val="0"/>
            <c:spPr>
              <a:solidFill>
                <a:srgbClr val="008000"/>
              </a:solidFill>
              <a:ln w="12700">
                <a:solidFill>
                  <a:srgbClr val="969696"/>
                </a:solidFill>
                <a:prstDash val="solid"/>
              </a:ln>
            </c:spPr>
            <c:extLst>
              <c:ext xmlns:c16="http://schemas.microsoft.com/office/drawing/2014/chart" uri="{C3380CC4-5D6E-409C-BE32-E72D297353CC}">
                <c16:uniqueId val="{00000000-233E-48BF-85E9-969CED9A4224}"/>
              </c:ext>
            </c:extLst>
          </c:dPt>
          <c:dPt>
            <c:idx val="1"/>
            <c:bubble3D val="0"/>
            <c:spPr>
              <a:solidFill>
                <a:srgbClr val="000080"/>
              </a:solidFill>
              <a:ln w="12700">
                <a:solidFill>
                  <a:srgbClr val="969696"/>
                </a:solidFill>
                <a:prstDash val="solid"/>
              </a:ln>
            </c:spPr>
            <c:extLst>
              <c:ext xmlns:c16="http://schemas.microsoft.com/office/drawing/2014/chart" uri="{C3380CC4-5D6E-409C-BE32-E72D297353CC}">
                <c16:uniqueId val="{00000001-233E-48BF-85E9-969CED9A4224}"/>
              </c:ext>
            </c:extLst>
          </c:dPt>
          <c:dPt>
            <c:idx val="2"/>
            <c:bubble3D val="0"/>
            <c:spPr>
              <a:solidFill>
                <a:srgbClr val="008080"/>
              </a:solidFill>
              <a:ln w="12700">
                <a:solidFill>
                  <a:srgbClr val="969696"/>
                </a:solidFill>
                <a:prstDash val="solid"/>
              </a:ln>
            </c:spPr>
            <c:extLst>
              <c:ext xmlns:c16="http://schemas.microsoft.com/office/drawing/2014/chart" uri="{C3380CC4-5D6E-409C-BE32-E72D297353CC}">
                <c16:uniqueId val="{00000002-233E-48BF-85E9-969CED9A4224}"/>
              </c:ext>
            </c:extLst>
          </c:dPt>
          <c:dPt>
            <c:idx val="3"/>
            <c:bubble3D val="0"/>
            <c:spPr>
              <a:solidFill>
                <a:srgbClr val="99CCFF"/>
              </a:solidFill>
              <a:ln w="12700">
                <a:solidFill>
                  <a:srgbClr val="969696"/>
                </a:solidFill>
                <a:prstDash val="solid"/>
              </a:ln>
            </c:spPr>
            <c:extLst>
              <c:ext xmlns:c16="http://schemas.microsoft.com/office/drawing/2014/chart" uri="{C3380CC4-5D6E-409C-BE32-E72D297353CC}">
                <c16:uniqueId val="{00000003-233E-48BF-85E9-969CED9A4224}"/>
              </c:ext>
            </c:extLst>
          </c:dPt>
          <c:dPt>
            <c:idx val="4"/>
            <c:bubble3D val="0"/>
            <c:spPr>
              <a:solidFill>
                <a:srgbClr val="660066"/>
              </a:solidFill>
              <a:ln w="12700">
                <a:solidFill>
                  <a:srgbClr val="969696"/>
                </a:solidFill>
                <a:prstDash val="solid"/>
              </a:ln>
            </c:spPr>
            <c:extLst>
              <c:ext xmlns:c16="http://schemas.microsoft.com/office/drawing/2014/chart" uri="{C3380CC4-5D6E-409C-BE32-E72D297353CC}">
                <c16:uniqueId val="{00000004-233E-48BF-85E9-969CED9A4224}"/>
              </c:ext>
            </c:extLst>
          </c:dPt>
          <c:dPt>
            <c:idx val="5"/>
            <c:bubble3D val="0"/>
            <c:spPr>
              <a:solidFill>
                <a:srgbClr val="FF8080"/>
              </a:solidFill>
              <a:ln w="12700">
                <a:solidFill>
                  <a:srgbClr val="969696"/>
                </a:solidFill>
                <a:prstDash val="solid"/>
              </a:ln>
            </c:spPr>
            <c:extLst>
              <c:ext xmlns:c16="http://schemas.microsoft.com/office/drawing/2014/chart" uri="{C3380CC4-5D6E-409C-BE32-E72D297353CC}">
                <c16:uniqueId val="{00000005-233E-48BF-85E9-969CED9A4224}"/>
              </c:ext>
            </c:extLst>
          </c:dPt>
          <c:dPt>
            <c:idx val="6"/>
            <c:bubble3D val="0"/>
            <c:spPr>
              <a:solidFill>
                <a:srgbClr val="0066CC"/>
              </a:solidFill>
              <a:ln w="12700">
                <a:solidFill>
                  <a:srgbClr val="969696"/>
                </a:solidFill>
                <a:prstDash val="solid"/>
              </a:ln>
            </c:spPr>
            <c:extLst>
              <c:ext xmlns:c16="http://schemas.microsoft.com/office/drawing/2014/chart" uri="{C3380CC4-5D6E-409C-BE32-E72D297353CC}">
                <c16:uniqueId val="{00000006-233E-48BF-85E9-969CED9A4224}"/>
              </c:ext>
            </c:extLst>
          </c:dPt>
          <c:dPt>
            <c:idx val="7"/>
            <c:bubble3D val="0"/>
            <c:spPr>
              <a:solidFill>
                <a:srgbClr val="CCCCFF"/>
              </a:solidFill>
              <a:ln w="12700">
                <a:solidFill>
                  <a:srgbClr val="969696"/>
                </a:solidFill>
                <a:prstDash val="solid"/>
              </a:ln>
            </c:spPr>
            <c:extLst>
              <c:ext xmlns:c16="http://schemas.microsoft.com/office/drawing/2014/chart" uri="{C3380CC4-5D6E-409C-BE32-E72D297353CC}">
                <c16:uniqueId val="{00000007-233E-48BF-85E9-969CED9A4224}"/>
              </c:ext>
            </c:extLst>
          </c:dPt>
          <c:dPt>
            <c:idx val="8"/>
            <c:bubble3D val="0"/>
            <c:spPr>
              <a:solidFill>
                <a:srgbClr val="000080"/>
              </a:solidFill>
              <a:ln w="12700">
                <a:solidFill>
                  <a:srgbClr val="969696"/>
                </a:solidFill>
                <a:prstDash val="solid"/>
              </a:ln>
            </c:spPr>
            <c:extLst>
              <c:ext xmlns:c16="http://schemas.microsoft.com/office/drawing/2014/chart" uri="{C3380CC4-5D6E-409C-BE32-E72D297353CC}">
                <c16:uniqueId val="{00000008-233E-48BF-85E9-969CED9A4224}"/>
              </c:ext>
            </c:extLst>
          </c:dPt>
          <c:dPt>
            <c:idx val="9"/>
            <c:bubble3D val="0"/>
            <c:spPr>
              <a:solidFill>
                <a:srgbClr val="CCFFFF"/>
              </a:solidFill>
              <a:ln w="12700">
                <a:solidFill>
                  <a:srgbClr val="969696"/>
                </a:solidFill>
                <a:prstDash val="solid"/>
              </a:ln>
            </c:spPr>
            <c:extLst>
              <c:ext xmlns:c16="http://schemas.microsoft.com/office/drawing/2014/chart" uri="{C3380CC4-5D6E-409C-BE32-E72D297353CC}">
                <c16:uniqueId val="{00000009-233E-48BF-85E9-969CED9A4224}"/>
              </c:ext>
            </c:extLst>
          </c:dPt>
          <c:dLbls>
            <c:dLbl>
              <c:idx val="2"/>
              <c:layout>
                <c:manualLayout>
                  <c:x val="5.5004063626476803E-3"/>
                  <c:y val="-4.122962809081103E-2"/>
                </c:manualLayout>
              </c:layout>
              <c:spPr>
                <a:noFill/>
                <a:ln w="25400">
                  <a:noFill/>
                </a:ln>
              </c:spPr>
              <c:txPr>
                <a:bodyPr/>
                <a:lstStyle/>
                <a:p>
                  <a:pPr>
                    <a:defRPr sz="9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33E-48BF-85E9-969CED9A4224}"/>
                </c:ext>
              </c:extLst>
            </c:dLbl>
            <c:spPr>
              <a:noFill/>
              <a:ln w="25400">
                <a:noFill/>
              </a:ln>
            </c:spPr>
            <c:txPr>
              <a:bodyPr wrap="square" lIns="38100" tIns="19050" rIns="38100" bIns="19050" anchor="ctr">
                <a:spAutoFit/>
              </a:bodyPr>
              <a:lstStyle/>
              <a:p>
                <a:pPr>
                  <a:defRPr sz="900" b="0" i="0" u="none" strike="noStrike" baseline="0">
                    <a:solidFill>
                      <a:srgbClr val="000000"/>
                    </a:solidFill>
                    <a:latin typeface="Arial"/>
                    <a:ea typeface="Arial"/>
                    <a:cs typeface="Arial"/>
                  </a:defRPr>
                </a:pPr>
                <a:endParaRPr lang="en-US"/>
              </a:p>
            </c:txPr>
            <c:showLegendKey val="1"/>
            <c:showVal val="1"/>
            <c:showCatName val="0"/>
            <c:showSerName val="0"/>
            <c:showPercent val="0"/>
            <c:showBubbleSize val="0"/>
            <c:showLeaderLines val="0"/>
            <c:extLst>
              <c:ext xmlns:c15="http://schemas.microsoft.com/office/drawing/2012/chart" uri="{CE6537A1-D6FC-4f65-9D91-7224C49458BB}"/>
            </c:extLst>
          </c:dLbls>
          <c:cat>
            <c:strRef>
              <c:f>Summary!$B$36:$K$36</c:f>
              <c:strCache>
                <c:ptCount val="10"/>
                <c:pt idx="0">
                  <c:v>Req. Analysis</c:v>
                </c:pt>
                <c:pt idx="1">
                  <c:v>HLD</c:v>
                </c:pt>
                <c:pt idx="2">
                  <c:v>DLD</c:v>
                </c:pt>
                <c:pt idx="3">
                  <c:v>PS</c:v>
                </c:pt>
                <c:pt idx="4">
                  <c:v>TC Prep.</c:v>
                </c:pt>
                <c:pt idx="5">
                  <c:v>Coding</c:v>
                </c:pt>
                <c:pt idx="6">
                  <c:v>UT</c:v>
                </c:pt>
                <c:pt idx="7">
                  <c:v>IT</c:v>
                </c:pt>
                <c:pt idx="8">
                  <c:v>ST</c:v>
                </c:pt>
                <c:pt idx="9">
                  <c:v>Rel.&amp; Impl.</c:v>
                </c:pt>
              </c:strCache>
            </c:strRef>
          </c:cat>
          <c:val>
            <c:numRef>
              <c:f>Summary!$B$37:$K$37</c:f>
              <c:numCache>
                <c:formatCode>0.00;[Red]0.00</c:formatCode>
                <c:ptCount val="10"/>
                <c:pt idx="0">
                  <c:v>53.28218243819267</c:v>
                </c:pt>
                <c:pt idx="1">
                  <c:v>4.9730036942313163</c:v>
                </c:pt>
                <c:pt idx="2">
                  <c:v>3.9784029553850528</c:v>
                </c:pt>
                <c:pt idx="3">
                  <c:v>7.1042909917590231</c:v>
                </c:pt>
                <c:pt idx="4">
                  <c:v>0.85251491901108278</c:v>
                </c:pt>
                <c:pt idx="5">
                  <c:v>22.733731173628872</c:v>
                </c:pt>
                <c:pt idx="6">
                  <c:v>2.3586246092639955</c:v>
                </c:pt>
                <c:pt idx="7">
                  <c:v>2.3586246092639955</c:v>
                </c:pt>
                <c:pt idx="8">
                  <c:v>2.3586246092639955</c:v>
                </c:pt>
                <c:pt idx="9">
                  <c:v>0</c:v>
                </c:pt>
              </c:numCache>
            </c:numRef>
          </c:val>
          <c:extLst>
            <c:ext xmlns:c16="http://schemas.microsoft.com/office/drawing/2014/chart" uri="{C3380CC4-5D6E-409C-BE32-E72D297353CC}">
              <c16:uniqueId val="{0000000A-233E-48BF-85E9-969CED9A4224}"/>
            </c:ext>
          </c:extLst>
        </c:ser>
        <c:dLbls>
          <c:showLegendKey val="0"/>
          <c:showVal val="0"/>
          <c:showCatName val="0"/>
          <c:showSerName val="0"/>
          <c:showPercent val="1"/>
          <c:showBubbleSize val="0"/>
          <c:showLeaderLines val="0"/>
        </c:dLbls>
      </c:pie3DChart>
      <c:spPr>
        <a:noFill/>
        <a:ln w="25400">
          <a:noFill/>
        </a:ln>
      </c:spPr>
    </c:plotArea>
    <c:legend>
      <c:legendPos val="r"/>
      <c:layout>
        <c:manualLayout>
          <c:xMode val="edge"/>
          <c:yMode val="edge"/>
          <c:x val="0.82884374755762447"/>
          <c:y val="0.16666695402665485"/>
          <c:w val="0.15847872802249036"/>
          <c:h val="0.74576399767859103"/>
        </c:manualLayout>
      </c:layout>
      <c:overlay val="0"/>
      <c:spPr>
        <a:solidFill>
          <a:srgbClr val="FFFFFF"/>
        </a:solidFill>
        <a:ln w="3175">
          <a:solidFill>
            <a:srgbClr val="C0C0C0"/>
          </a:solidFill>
          <a:prstDash val="solid"/>
        </a:ln>
      </c:spPr>
      <c:txPr>
        <a:bodyPr/>
        <a:lstStyle/>
        <a:p>
          <a:pPr>
            <a:defRPr sz="825" b="0" i="0" u="none" strike="noStrike" baseline="0">
              <a:solidFill>
                <a:srgbClr val="000000"/>
              </a:solidFill>
              <a:latin typeface="Arial Narrow"/>
              <a:ea typeface="Arial Narrow"/>
              <a:cs typeface="Arial Narrow"/>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Total Development Effort Variance %</a:t>
            </a:r>
          </a:p>
        </c:rich>
      </c:tx>
      <c:layout>
        <c:manualLayout>
          <c:xMode val="edge"/>
          <c:yMode val="edge"/>
          <c:x val="0.25992105153522477"/>
          <c:y val="2.5104602510460251E-2"/>
        </c:manualLayout>
      </c:layout>
      <c:overlay val="0"/>
      <c:spPr>
        <a:noFill/>
        <a:ln w="25400">
          <a:noFill/>
        </a:ln>
      </c:spPr>
    </c:title>
    <c:autoTitleDeleted val="0"/>
    <c:plotArea>
      <c:layout>
        <c:manualLayout>
          <c:layoutTarget val="inner"/>
          <c:xMode val="edge"/>
          <c:yMode val="edge"/>
          <c:x val="6.1508055687421889E-2"/>
          <c:y val="0.100418410041841"/>
          <c:w val="0.9246049661399548"/>
          <c:h val="0.82426778242677823"/>
        </c:manualLayout>
      </c:layout>
      <c:lineChart>
        <c:grouping val="standard"/>
        <c:varyColors val="0"/>
        <c:ser>
          <c:idx val="0"/>
          <c:order val="0"/>
          <c:tx>
            <c:strRef>
              <c:f>Graphs!$A$3</c:f>
              <c:strCache>
                <c:ptCount val="1"/>
                <c:pt idx="0">
                  <c:v>Effort Variance</c:v>
                </c:pt>
              </c:strCache>
            </c:strRef>
          </c:tx>
          <c:spPr>
            <a:ln w="25400">
              <a:solidFill>
                <a:srgbClr val="000080"/>
              </a:solidFill>
              <a:prstDash val="solid"/>
            </a:ln>
          </c:spPr>
          <c:marker>
            <c:symbol val="diamond"/>
            <c:size val="6"/>
            <c:spPr>
              <a:solidFill>
                <a:srgbClr val="FFFFFF"/>
              </a:solidFill>
              <a:ln>
                <a:solidFill>
                  <a:srgbClr val="000080"/>
                </a:solidFill>
                <a:prstDash val="solid"/>
              </a:ln>
            </c:spPr>
          </c:marker>
          <c:cat>
            <c:numRef>
              <c:f>Graphs!$B$2:$AX$2</c:f>
              <c:numCache>
                <c:formatCode>m/d/yyyy</c:formatCode>
                <c:ptCount val="49"/>
                <c:pt idx="0">
                  <c:v>44098</c:v>
                </c:pt>
              </c:numCache>
            </c:numRef>
          </c:cat>
          <c:val>
            <c:numRef>
              <c:f>Graphs!$B$3:$AX$3</c:f>
              <c:numCache>
                <c:formatCode>0.00</c:formatCode>
                <c:ptCount val="49"/>
                <c:pt idx="0">
                  <c:v>-96.711761474609375</c:v>
                </c:pt>
              </c:numCache>
            </c:numRef>
          </c:val>
          <c:smooth val="0"/>
          <c:extLst>
            <c:ext xmlns:c16="http://schemas.microsoft.com/office/drawing/2014/chart" uri="{C3380CC4-5D6E-409C-BE32-E72D297353CC}">
              <c16:uniqueId val="{00000000-E92A-45B2-BDCD-37601B5DBBC1}"/>
            </c:ext>
          </c:extLst>
        </c:ser>
        <c:dLbls>
          <c:showLegendKey val="0"/>
          <c:showVal val="0"/>
          <c:showCatName val="0"/>
          <c:showSerName val="0"/>
          <c:showPercent val="0"/>
          <c:showBubbleSize val="0"/>
        </c:dLbls>
        <c:marker val="1"/>
        <c:smooth val="0"/>
        <c:axId val="468323824"/>
        <c:axId val="1"/>
      </c:lineChart>
      <c:dateAx>
        <c:axId val="468323824"/>
        <c:scaling>
          <c:orientation val="minMax"/>
        </c:scaling>
        <c:delete val="0"/>
        <c:axPos val="b"/>
        <c:numFmt formatCode="mmm/yy" sourceLinked="0"/>
        <c:majorTickMark val="out"/>
        <c:minorTickMark val="none"/>
        <c:tickLblPos val="nextTo"/>
        <c:spPr>
          <a:ln w="25400">
            <a:solidFill>
              <a:srgbClr val="80808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1"/>
        <c:crosses val="autoZero"/>
        <c:auto val="1"/>
        <c:lblOffset val="100"/>
        <c:baseTimeUnit val="days"/>
        <c:majorUnit val="1"/>
        <c:minorUnit val="1"/>
      </c:dateAx>
      <c:valAx>
        <c:axId val="1"/>
        <c:scaling>
          <c:orientation val="minMax"/>
        </c:scaling>
        <c:delete val="0"/>
        <c:axPos val="l"/>
        <c:majorGridlines>
          <c:spPr>
            <a:ln w="3175">
              <a:solidFill>
                <a:srgbClr val="969696"/>
              </a:solidFill>
              <a:prstDash val="sysDash"/>
            </a:ln>
          </c:spPr>
        </c:majorGridlines>
        <c:numFmt formatCode="0" sourceLinked="0"/>
        <c:majorTickMark val="out"/>
        <c:minorTickMark val="none"/>
        <c:tickLblPos val="nextTo"/>
        <c:spPr>
          <a:ln w="25400">
            <a:solidFill>
              <a:srgbClr val="80808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68323824"/>
        <c:crosses val="autoZero"/>
        <c:crossBetween val="between"/>
        <c:majorUnit val="10"/>
        <c:minorUnit val="5"/>
      </c:valAx>
      <c:spPr>
        <a:solidFill>
          <a:srgbClr val="FFFFCC"/>
        </a:solid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0"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Defects Trend - Categorywise %</a:t>
            </a:r>
          </a:p>
        </c:rich>
      </c:tx>
      <c:layout>
        <c:manualLayout>
          <c:xMode val="edge"/>
          <c:yMode val="edge"/>
          <c:x val="0.11909090909090909"/>
          <c:y val="1.824817518248175E-2"/>
        </c:manualLayout>
      </c:layout>
      <c:overlay val="0"/>
      <c:spPr>
        <a:noFill/>
        <a:ln w="25400">
          <a:noFill/>
        </a:ln>
      </c:spPr>
    </c:title>
    <c:autoTitleDeleted val="0"/>
    <c:plotArea>
      <c:layout>
        <c:manualLayout>
          <c:layoutTarget val="inner"/>
          <c:xMode val="edge"/>
          <c:yMode val="edge"/>
          <c:x val="2.8181818181818183E-2"/>
          <c:y val="0.12043817083102409"/>
          <c:w val="0.96636363636363631"/>
          <c:h val="0.80657078041382801"/>
        </c:manualLayout>
      </c:layout>
      <c:lineChart>
        <c:grouping val="standard"/>
        <c:varyColors val="0"/>
        <c:ser>
          <c:idx val="0"/>
          <c:order val="0"/>
          <c:tx>
            <c:strRef>
              <c:f>Graphs!$A$12</c:f>
              <c:strCache>
                <c:ptCount val="1"/>
                <c:pt idx="0">
                  <c:v>MS</c:v>
                </c:pt>
              </c:strCache>
            </c:strRef>
          </c:tx>
          <c:spPr>
            <a:ln w="25400">
              <a:solidFill>
                <a:srgbClr val="0000FF"/>
              </a:solidFill>
              <a:prstDash val="solid"/>
            </a:ln>
          </c:spPr>
          <c:marker>
            <c:symbol val="diamond"/>
            <c:size val="7"/>
            <c:spPr>
              <a:solidFill>
                <a:srgbClr val="000080"/>
              </a:solidFill>
              <a:ln>
                <a:solidFill>
                  <a:srgbClr val="000080"/>
                </a:solidFill>
                <a:prstDash val="solid"/>
              </a:ln>
            </c:spPr>
          </c:marker>
          <c:cat>
            <c:numRef>
              <c:f>Graphs!$B$2:$AX$2</c:f>
              <c:numCache>
                <c:formatCode>m/d/yyyy</c:formatCode>
                <c:ptCount val="49"/>
                <c:pt idx="0">
                  <c:v>44098</c:v>
                </c:pt>
              </c:numCache>
            </c:numRef>
          </c:cat>
          <c:val>
            <c:numRef>
              <c:f>Graphs!$B$12:$AX$12</c:f>
              <c:numCache>
                <c:formatCode>0;[Red]0</c:formatCode>
                <c:ptCount val="49"/>
                <c:pt idx="0">
                  <c:v>50</c:v>
                </c:pt>
              </c:numCache>
            </c:numRef>
          </c:val>
          <c:smooth val="1"/>
          <c:extLst>
            <c:ext xmlns:c16="http://schemas.microsoft.com/office/drawing/2014/chart" uri="{C3380CC4-5D6E-409C-BE32-E72D297353CC}">
              <c16:uniqueId val="{00000000-DAC1-45AB-8790-72B1315226E7}"/>
            </c:ext>
          </c:extLst>
        </c:ser>
        <c:ser>
          <c:idx val="1"/>
          <c:order val="1"/>
          <c:tx>
            <c:strRef>
              <c:f>Graphs!$A$13</c:f>
              <c:strCache>
                <c:ptCount val="1"/>
                <c:pt idx="0">
                  <c:v>IF</c:v>
                </c:pt>
              </c:strCache>
            </c:strRef>
          </c:tx>
          <c:spPr>
            <a:ln w="25400">
              <a:solidFill>
                <a:srgbClr val="FFCC99"/>
              </a:solidFill>
              <a:prstDash val="solid"/>
            </a:ln>
          </c:spPr>
          <c:marker>
            <c:symbol val="circle"/>
            <c:size val="5"/>
            <c:spPr>
              <a:solidFill>
                <a:srgbClr val="FF6600"/>
              </a:solidFill>
              <a:ln>
                <a:solidFill>
                  <a:srgbClr val="FF6600"/>
                </a:solidFill>
                <a:prstDash val="solid"/>
              </a:ln>
            </c:spPr>
          </c:marker>
          <c:cat>
            <c:numRef>
              <c:f>Graphs!$B$2:$AX$2</c:f>
              <c:numCache>
                <c:formatCode>m/d/yyyy</c:formatCode>
                <c:ptCount val="49"/>
                <c:pt idx="0">
                  <c:v>44098</c:v>
                </c:pt>
              </c:numCache>
            </c:numRef>
          </c:cat>
          <c:val>
            <c:numRef>
              <c:f>Graphs!$B$13:$AX$13</c:f>
              <c:numCache>
                <c:formatCode>0;[Red]0</c:formatCode>
                <c:ptCount val="49"/>
                <c:pt idx="0">
                  <c:v>0</c:v>
                </c:pt>
              </c:numCache>
            </c:numRef>
          </c:val>
          <c:smooth val="1"/>
          <c:extLst>
            <c:ext xmlns:c16="http://schemas.microsoft.com/office/drawing/2014/chart" uri="{C3380CC4-5D6E-409C-BE32-E72D297353CC}">
              <c16:uniqueId val="{00000001-DAC1-45AB-8790-72B1315226E7}"/>
            </c:ext>
          </c:extLst>
        </c:ser>
        <c:ser>
          <c:idx val="2"/>
          <c:order val="2"/>
          <c:tx>
            <c:strRef>
              <c:f>Graphs!$A$14</c:f>
              <c:strCache>
                <c:ptCount val="1"/>
                <c:pt idx="0">
                  <c:v>LO</c:v>
                </c:pt>
              </c:strCache>
            </c:strRef>
          </c:tx>
          <c:spPr>
            <a:ln w="25400">
              <a:solidFill>
                <a:srgbClr val="FF0000"/>
              </a:solidFill>
              <a:prstDash val="solid"/>
            </a:ln>
          </c:spPr>
          <c:marker>
            <c:symbol val="diamond"/>
            <c:size val="5"/>
            <c:spPr>
              <a:solidFill>
                <a:srgbClr val="00FF00"/>
              </a:solidFill>
              <a:ln>
                <a:solidFill>
                  <a:srgbClr val="00FF00"/>
                </a:solidFill>
                <a:prstDash val="solid"/>
              </a:ln>
            </c:spPr>
          </c:marker>
          <c:cat>
            <c:numRef>
              <c:f>Graphs!$B$2:$AX$2</c:f>
              <c:numCache>
                <c:formatCode>m/d/yyyy</c:formatCode>
                <c:ptCount val="49"/>
                <c:pt idx="0">
                  <c:v>44098</c:v>
                </c:pt>
              </c:numCache>
            </c:numRef>
          </c:cat>
          <c:val>
            <c:numRef>
              <c:f>Graphs!$B$14:$AX$14</c:f>
              <c:numCache>
                <c:formatCode>0;[Red]0</c:formatCode>
                <c:ptCount val="49"/>
                <c:pt idx="0">
                  <c:v>0</c:v>
                </c:pt>
              </c:numCache>
            </c:numRef>
          </c:val>
          <c:smooth val="1"/>
          <c:extLst>
            <c:ext xmlns:c16="http://schemas.microsoft.com/office/drawing/2014/chart" uri="{C3380CC4-5D6E-409C-BE32-E72D297353CC}">
              <c16:uniqueId val="{00000002-DAC1-45AB-8790-72B1315226E7}"/>
            </c:ext>
          </c:extLst>
        </c:ser>
        <c:ser>
          <c:idx val="3"/>
          <c:order val="3"/>
          <c:tx>
            <c:strRef>
              <c:f>Graphs!$A$15</c:f>
              <c:strCache>
                <c:ptCount val="1"/>
                <c:pt idx="0">
                  <c:v>OP</c:v>
                </c:pt>
              </c:strCache>
            </c:strRef>
          </c:tx>
          <c:spPr>
            <a:ln w="25400">
              <a:solidFill>
                <a:srgbClr val="99CC00"/>
              </a:solidFill>
              <a:prstDash val="solid"/>
            </a:ln>
          </c:spPr>
          <c:marker>
            <c:symbol val="square"/>
            <c:size val="5"/>
            <c:spPr>
              <a:solidFill>
                <a:srgbClr val="FFFF00"/>
              </a:solidFill>
              <a:ln>
                <a:solidFill>
                  <a:srgbClr val="FFFF00"/>
                </a:solidFill>
                <a:prstDash val="solid"/>
              </a:ln>
            </c:spPr>
          </c:marker>
          <c:cat>
            <c:numRef>
              <c:f>Graphs!$B$2:$AX$2</c:f>
              <c:numCache>
                <c:formatCode>m/d/yyyy</c:formatCode>
                <c:ptCount val="49"/>
                <c:pt idx="0">
                  <c:v>44098</c:v>
                </c:pt>
              </c:numCache>
            </c:numRef>
          </c:cat>
          <c:val>
            <c:numRef>
              <c:f>Graphs!$B$15:$AX$15</c:f>
              <c:numCache>
                <c:formatCode>0;[Red]0</c:formatCode>
                <c:ptCount val="49"/>
                <c:pt idx="0">
                  <c:v>0</c:v>
                </c:pt>
              </c:numCache>
            </c:numRef>
          </c:val>
          <c:smooth val="1"/>
          <c:extLst>
            <c:ext xmlns:c16="http://schemas.microsoft.com/office/drawing/2014/chart" uri="{C3380CC4-5D6E-409C-BE32-E72D297353CC}">
              <c16:uniqueId val="{00000003-DAC1-45AB-8790-72B1315226E7}"/>
            </c:ext>
          </c:extLst>
        </c:ser>
        <c:ser>
          <c:idx val="4"/>
          <c:order val="4"/>
          <c:tx>
            <c:strRef>
              <c:f>Graphs!$A$16</c:f>
              <c:strCache>
                <c:ptCount val="1"/>
                <c:pt idx="0">
                  <c:v>DA</c:v>
                </c:pt>
              </c:strCache>
            </c:strRef>
          </c:tx>
          <c:spPr>
            <a:ln w="25400">
              <a:solidFill>
                <a:srgbClr val="FF00FF"/>
              </a:solidFill>
              <a:prstDash val="solid"/>
            </a:ln>
          </c:spPr>
          <c:marker>
            <c:symbol val="triangle"/>
            <c:size val="5"/>
            <c:spPr>
              <a:solidFill>
                <a:srgbClr val="800080"/>
              </a:solidFill>
              <a:ln>
                <a:solidFill>
                  <a:srgbClr val="800080"/>
                </a:solidFill>
                <a:prstDash val="solid"/>
              </a:ln>
            </c:spPr>
          </c:marker>
          <c:cat>
            <c:numRef>
              <c:f>Graphs!$B$2:$AX$2</c:f>
              <c:numCache>
                <c:formatCode>m/d/yyyy</c:formatCode>
                <c:ptCount val="49"/>
                <c:pt idx="0">
                  <c:v>44098</c:v>
                </c:pt>
              </c:numCache>
            </c:numRef>
          </c:cat>
          <c:val>
            <c:numRef>
              <c:f>Graphs!$B$16:$AX$16</c:f>
              <c:numCache>
                <c:formatCode>0;[Red]0</c:formatCode>
                <c:ptCount val="49"/>
                <c:pt idx="0">
                  <c:v>0</c:v>
                </c:pt>
              </c:numCache>
            </c:numRef>
          </c:val>
          <c:smooth val="1"/>
          <c:extLst>
            <c:ext xmlns:c16="http://schemas.microsoft.com/office/drawing/2014/chart" uri="{C3380CC4-5D6E-409C-BE32-E72D297353CC}">
              <c16:uniqueId val="{00000004-DAC1-45AB-8790-72B1315226E7}"/>
            </c:ext>
          </c:extLst>
        </c:ser>
        <c:ser>
          <c:idx val="5"/>
          <c:order val="5"/>
          <c:tx>
            <c:strRef>
              <c:f>Graphs!$A$17</c:f>
              <c:strCache>
                <c:ptCount val="1"/>
                <c:pt idx="0">
                  <c:v>ST</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Graphs!$B$2:$AX$2</c:f>
              <c:numCache>
                <c:formatCode>m/d/yyyy</c:formatCode>
                <c:ptCount val="49"/>
                <c:pt idx="0">
                  <c:v>44098</c:v>
                </c:pt>
              </c:numCache>
            </c:numRef>
          </c:cat>
          <c:val>
            <c:numRef>
              <c:f>Graphs!$B$17:$AX$17</c:f>
              <c:numCache>
                <c:formatCode>0;[Red]0</c:formatCode>
                <c:ptCount val="49"/>
                <c:pt idx="0">
                  <c:v>25</c:v>
                </c:pt>
              </c:numCache>
            </c:numRef>
          </c:val>
          <c:smooth val="1"/>
          <c:extLst>
            <c:ext xmlns:c16="http://schemas.microsoft.com/office/drawing/2014/chart" uri="{C3380CC4-5D6E-409C-BE32-E72D297353CC}">
              <c16:uniqueId val="{00000005-DAC1-45AB-8790-72B1315226E7}"/>
            </c:ext>
          </c:extLst>
        </c:ser>
        <c:ser>
          <c:idx val="6"/>
          <c:order val="6"/>
          <c:tx>
            <c:strRef>
              <c:f>Graphs!$A$18</c:f>
              <c:strCache>
                <c:ptCount val="1"/>
                <c:pt idx="0">
                  <c:v>US</c:v>
                </c:pt>
              </c:strCache>
            </c:strRef>
          </c:tx>
          <c:spPr>
            <a:ln w="25400">
              <a:solidFill>
                <a:srgbClr val="008080"/>
              </a:solidFill>
              <a:prstDash val="solid"/>
            </a:ln>
          </c:spPr>
          <c:marker>
            <c:symbol val="plus"/>
            <c:size val="7"/>
            <c:spPr>
              <a:noFill/>
              <a:ln>
                <a:solidFill>
                  <a:srgbClr val="008080"/>
                </a:solidFill>
                <a:prstDash val="solid"/>
              </a:ln>
            </c:spPr>
          </c:marker>
          <c:cat>
            <c:numRef>
              <c:f>Graphs!$B$2:$AX$2</c:f>
              <c:numCache>
                <c:formatCode>m/d/yyyy</c:formatCode>
                <c:ptCount val="49"/>
                <c:pt idx="0">
                  <c:v>44098</c:v>
                </c:pt>
              </c:numCache>
            </c:numRef>
          </c:cat>
          <c:val>
            <c:numRef>
              <c:f>Graphs!$B$18:$AX$18</c:f>
              <c:numCache>
                <c:formatCode>0;[Red]0</c:formatCode>
                <c:ptCount val="49"/>
                <c:pt idx="0">
                  <c:v>0</c:v>
                </c:pt>
              </c:numCache>
            </c:numRef>
          </c:val>
          <c:smooth val="1"/>
          <c:extLst>
            <c:ext xmlns:c16="http://schemas.microsoft.com/office/drawing/2014/chart" uri="{C3380CC4-5D6E-409C-BE32-E72D297353CC}">
              <c16:uniqueId val="{00000006-DAC1-45AB-8790-72B1315226E7}"/>
            </c:ext>
          </c:extLst>
        </c:ser>
        <c:ser>
          <c:idx val="7"/>
          <c:order val="7"/>
          <c:tx>
            <c:strRef>
              <c:f>Graphs!$A$19</c:f>
              <c:strCache>
                <c:ptCount val="1"/>
                <c:pt idx="0">
                  <c:v>NR</c:v>
                </c:pt>
              </c:strCache>
            </c:strRef>
          </c:tx>
          <c:spPr>
            <a:ln w="25400">
              <a:solidFill>
                <a:srgbClr val="0000FF"/>
              </a:solidFill>
              <a:prstDash val="solid"/>
            </a:ln>
          </c:spPr>
          <c:marker>
            <c:symbol val="dot"/>
            <c:size val="7"/>
            <c:spPr>
              <a:noFill/>
              <a:ln>
                <a:solidFill>
                  <a:srgbClr val="0000FF"/>
                </a:solidFill>
                <a:prstDash val="solid"/>
              </a:ln>
            </c:spPr>
          </c:marker>
          <c:cat>
            <c:numRef>
              <c:f>Graphs!$B$2:$AX$2</c:f>
              <c:numCache>
                <c:formatCode>m/d/yyyy</c:formatCode>
                <c:ptCount val="49"/>
                <c:pt idx="0">
                  <c:v>44098</c:v>
                </c:pt>
              </c:numCache>
            </c:numRef>
          </c:cat>
          <c:val>
            <c:numRef>
              <c:f>Graphs!$B$19:$AX$19</c:f>
              <c:numCache>
                <c:formatCode>0;[Red]0</c:formatCode>
                <c:ptCount val="49"/>
                <c:pt idx="0">
                  <c:v>0</c:v>
                </c:pt>
              </c:numCache>
            </c:numRef>
          </c:val>
          <c:smooth val="1"/>
          <c:extLst>
            <c:ext xmlns:c16="http://schemas.microsoft.com/office/drawing/2014/chart" uri="{C3380CC4-5D6E-409C-BE32-E72D297353CC}">
              <c16:uniqueId val="{00000007-DAC1-45AB-8790-72B1315226E7}"/>
            </c:ext>
          </c:extLst>
        </c:ser>
        <c:ser>
          <c:idx val="8"/>
          <c:order val="8"/>
          <c:tx>
            <c:strRef>
              <c:f>Graphs!$A$20</c:f>
              <c:strCache>
                <c:ptCount val="1"/>
                <c:pt idx="0">
                  <c:v>CL</c:v>
                </c:pt>
              </c:strCache>
            </c:strRef>
          </c:tx>
          <c:spPr>
            <a:ln w="25400">
              <a:solidFill>
                <a:srgbClr val="00CCFF"/>
              </a:solidFill>
              <a:prstDash val="solid"/>
            </a:ln>
          </c:spPr>
          <c:marker>
            <c:symbol val="dash"/>
            <c:size val="7"/>
            <c:spPr>
              <a:noFill/>
              <a:ln>
                <a:solidFill>
                  <a:srgbClr val="00CCFF"/>
                </a:solidFill>
                <a:prstDash val="solid"/>
              </a:ln>
            </c:spPr>
          </c:marker>
          <c:cat>
            <c:numRef>
              <c:f>Graphs!$B$2:$AX$2</c:f>
              <c:numCache>
                <c:formatCode>m/d/yyyy</c:formatCode>
                <c:ptCount val="49"/>
                <c:pt idx="0">
                  <c:v>44098</c:v>
                </c:pt>
              </c:numCache>
            </c:numRef>
          </c:cat>
          <c:val>
            <c:numRef>
              <c:f>Graphs!$B$20:$AX$20</c:f>
              <c:numCache>
                <c:formatCode>0;[Red]0</c:formatCode>
                <c:ptCount val="49"/>
                <c:pt idx="0">
                  <c:v>25</c:v>
                </c:pt>
              </c:numCache>
            </c:numRef>
          </c:val>
          <c:smooth val="1"/>
          <c:extLst>
            <c:ext xmlns:c16="http://schemas.microsoft.com/office/drawing/2014/chart" uri="{C3380CC4-5D6E-409C-BE32-E72D297353CC}">
              <c16:uniqueId val="{00000008-DAC1-45AB-8790-72B1315226E7}"/>
            </c:ext>
          </c:extLst>
        </c:ser>
        <c:ser>
          <c:idx val="9"/>
          <c:order val="9"/>
          <c:tx>
            <c:strRef>
              <c:f>Graphs!$A$21</c:f>
              <c:strCache>
                <c:ptCount val="1"/>
                <c:pt idx="0">
                  <c:v>CP</c:v>
                </c:pt>
              </c:strCache>
            </c:strRef>
          </c:tx>
          <c:spPr>
            <a:ln w="12700">
              <a:solidFill>
                <a:srgbClr val="CCFFFF"/>
              </a:solidFill>
              <a:prstDash val="solid"/>
            </a:ln>
          </c:spPr>
          <c:marker>
            <c:symbol val="diamond"/>
            <c:size val="5"/>
            <c:spPr>
              <a:solidFill>
                <a:srgbClr val="CCFFFF"/>
              </a:solidFill>
              <a:ln>
                <a:solidFill>
                  <a:srgbClr val="CCFFFF"/>
                </a:solidFill>
                <a:prstDash val="solid"/>
              </a:ln>
            </c:spPr>
          </c:marker>
          <c:cat>
            <c:numRef>
              <c:f>Graphs!$B$2:$AX$2</c:f>
              <c:numCache>
                <c:formatCode>m/d/yyyy</c:formatCode>
                <c:ptCount val="49"/>
                <c:pt idx="0">
                  <c:v>44098</c:v>
                </c:pt>
              </c:numCache>
            </c:numRef>
          </c:cat>
          <c:val>
            <c:numRef>
              <c:f>Graphs!$B$21:$AX$21</c:f>
              <c:numCache>
                <c:formatCode>0;[Red]0</c:formatCode>
                <c:ptCount val="49"/>
                <c:pt idx="0">
                  <c:v>0</c:v>
                </c:pt>
              </c:numCache>
            </c:numRef>
          </c:val>
          <c:smooth val="1"/>
          <c:extLst>
            <c:ext xmlns:c16="http://schemas.microsoft.com/office/drawing/2014/chart" uri="{C3380CC4-5D6E-409C-BE32-E72D297353CC}">
              <c16:uniqueId val="{00000009-DAC1-45AB-8790-72B1315226E7}"/>
            </c:ext>
          </c:extLst>
        </c:ser>
        <c:dLbls>
          <c:showLegendKey val="0"/>
          <c:showVal val="0"/>
          <c:showCatName val="0"/>
          <c:showSerName val="0"/>
          <c:showPercent val="0"/>
          <c:showBubbleSize val="0"/>
        </c:dLbls>
        <c:marker val="1"/>
        <c:smooth val="0"/>
        <c:axId val="468325744"/>
        <c:axId val="1"/>
      </c:lineChart>
      <c:dateAx>
        <c:axId val="468325744"/>
        <c:scaling>
          <c:orientation val="minMax"/>
        </c:scaling>
        <c:delete val="0"/>
        <c:axPos val="b"/>
        <c:majorGridlines>
          <c:spPr>
            <a:ln w="3175">
              <a:solidFill>
                <a:srgbClr val="C0C0C0"/>
              </a:solidFill>
              <a:prstDash val="sysDash"/>
            </a:ln>
          </c:spPr>
        </c:majorGridlines>
        <c:numFmt formatCode="m/d/yyyy" sourceLinked="1"/>
        <c:majorTickMark val="out"/>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Narrow"/>
                <a:ea typeface="Arial Narrow"/>
                <a:cs typeface="Arial Narrow"/>
              </a:defRPr>
            </a:pPr>
            <a:endParaRPr lang="en-US"/>
          </a:p>
        </c:txPr>
        <c:crossAx val="1"/>
        <c:crossesAt val="0"/>
        <c:auto val="1"/>
        <c:lblOffset val="100"/>
        <c:baseTimeUnit val="days"/>
        <c:majorUnit val="1"/>
        <c:minorUnit val="1"/>
      </c:dateAx>
      <c:valAx>
        <c:axId val="1"/>
        <c:scaling>
          <c:orientation val="minMax"/>
          <c:min val="0"/>
        </c:scaling>
        <c:delete val="0"/>
        <c:axPos val="l"/>
        <c:majorGridlines>
          <c:spPr>
            <a:ln w="3175">
              <a:solidFill>
                <a:srgbClr val="C0C0C0"/>
              </a:solidFill>
              <a:prstDash val="sysDash"/>
            </a:ln>
          </c:spPr>
        </c:majorGridlines>
        <c:numFmt formatCode="0;[Red]0" sourceLinked="1"/>
        <c:majorTickMark val="out"/>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68325744"/>
        <c:crosses val="autoZero"/>
        <c:crossBetween val="midCat"/>
        <c:majorUnit val="10"/>
        <c:minorUnit val="5"/>
      </c:valAx>
      <c:spPr>
        <a:noFill/>
        <a:ln w="12700">
          <a:solidFill>
            <a:srgbClr val="808080"/>
          </a:solidFill>
          <a:prstDash val="solid"/>
        </a:ln>
      </c:spPr>
    </c:plotArea>
    <c:legend>
      <c:legendPos val="r"/>
      <c:layout>
        <c:manualLayout>
          <c:xMode val="edge"/>
          <c:yMode val="edge"/>
          <c:x val="0.53573993148161847"/>
          <c:y val="2.5352173699251725E-2"/>
          <c:w val="0.4543527556290608"/>
          <c:h val="0.10985941936342415"/>
        </c:manualLayout>
      </c:layout>
      <c:overlay val="0"/>
      <c:spPr>
        <a:noFill/>
        <a:ln w="3175">
          <a:solidFill>
            <a:srgbClr val="C0C0C0"/>
          </a:solidFill>
          <a:prstDash val="solid"/>
        </a:ln>
      </c:spPr>
      <c:txPr>
        <a:bodyPr/>
        <a:lstStyle/>
        <a:p>
          <a:pPr>
            <a:defRPr sz="73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Defect distribution based on Detection %</a:t>
            </a:r>
          </a:p>
        </c:rich>
      </c:tx>
      <c:layout>
        <c:manualLayout>
          <c:xMode val="edge"/>
          <c:yMode val="edge"/>
          <c:x val="0.38475875459805442"/>
          <c:y val="2.1276595744680851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0.11338300253307473"/>
          <c:y val="0.37943393808849352"/>
          <c:w val="0.50929414252561434"/>
          <c:h val="0.38298004965941401"/>
        </c:manualLayout>
      </c:layout>
      <c:pie3DChart>
        <c:varyColors val="1"/>
        <c:ser>
          <c:idx val="0"/>
          <c:order val="0"/>
          <c:spPr>
            <a:solidFill>
              <a:srgbClr val="9999FF"/>
            </a:solidFill>
            <a:ln w="12700">
              <a:solidFill>
                <a:srgbClr val="969696"/>
              </a:solidFill>
              <a:prstDash val="solid"/>
            </a:ln>
          </c:spPr>
          <c:explosion val="25"/>
          <c:dPt>
            <c:idx val="0"/>
            <c:bubble3D val="0"/>
            <c:extLst>
              <c:ext xmlns:c16="http://schemas.microsoft.com/office/drawing/2014/chart" uri="{C3380CC4-5D6E-409C-BE32-E72D297353CC}">
                <c16:uniqueId val="{00000000-FC5E-4587-86B1-CDC99C2C9CCB}"/>
              </c:ext>
            </c:extLst>
          </c:dPt>
          <c:dPt>
            <c:idx val="1"/>
            <c:bubble3D val="0"/>
            <c:spPr>
              <a:solidFill>
                <a:srgbClr val="993366"/>
              </a:solidFill>
              <a:ln w="12700">
                <a:solidFill>
                  <a:srgbClr val="969696"/>
                </a:solidFill>
                <a:prstDash val="solid"/>
              </a:ln>
            </c:spPr>
            <c:extLst>
              <c:ext xmlns:c16="http://schemas.microsoft.com/office/drawing/2014/chart" uri="{C3380CC4-5D6E-409C-BE32-E72D297353CC}">
                <c16:uniqueId val="{00000001-FC5E-4587-86B1-CDC99C2C9CCB}"/>
              </c:ext>
            </c:extLst>
          </c:dPt>
          <c:dPt>
            <c:idx val="2"/>
            <c:bubble3D val="0"/>
            <c:spPr>
              <a:solidFill>
                <a:srgbClr val="FFFFCC"/>
              </a:solidFill>
              <a:ln w="12700">
                <a:solidFill>
                  <a:srgbClr val="969696"/>
                </a:solidFill>
                <a:prstDash val="solid"/>
              </a:ln>
            </c:spPr>
            <c:extLst>
              <c:ext xmlns:c16="http://schemas.microsoft.com/office/drawing/2014/chart" uri="{C3380CC4-5D6E-409C-BE32-E72D297353CC}">
                <c16:uniqueId val="{00000002-FC5E-4587-86B1-CDC99C2C9CCB}"/>
              </c:ext>
            </c:extLst>
          </c:dPt>
          <c:dPt>
            <c:idx val="3"/>
            <c:bubble3D val="0"/>
            <c:spPr>
              <a:solidFill>
                <a:srgbClr val="CCFFFF"/>
              </a:solidFill>
              <a:ln w="12700">
                <a:solidFill>
                  <a:srgbClr val="969696"/>
                </a:solidFill>
                <a:prstDash val="solid"/>
              </a:ln>
            </c:spPr>
            <c:extLst>
              <c:ext xmlns:c16="http://schemas.microsoft.com/office/drawing/2014/chart" uri="{C3380CC4-5D6E-409C-BE32-E72D297353CC}">
                <c16:uniqueId val="{00000003-FC5E-4587-86B1-CDC99C2C9CCB}"/>
              </c:ext>
            </c:extLst>
          </c:dPt>
          <c:dPt>
            <c:idx val="4"/>
            <c:bubble3D val="0"/>
            <c:spPr>
              <a:solidFill>
                <a:srgbClr val="660066"/>
              </a:solidFill>
              <a:ln w="12700">
                <a:solidFill>
                  <a:srgbClr val="969696"/>
                </a:solidFill>
                <a:prstDash val="solid"/>
              </a:ln>
            </c:spPr>
            <c:extLst>
              <c:ext xmlns:c16="http://schemas.microsoft.com/office/drawing/2014/chart" uri="{C3380CC4-5D6E-409C-BE32-E72D297353CC}">
                <c16:uniqueId val="{00000004-FC5E-4587-86B1-CDC99C2C9CCB}"/>
              </c:ext>
            </c:extLst>
          </c:dPt>
          <c:dPt>
            <c:idx val="5"/>
            <c:bubble3D val="0"/>
            <c:spPr>
              <a:solidFill>
                <a:srgbClr val="FF8080"/>
              </a:solidFill>
              <a:ln w="12700">
                <a:solidFill>
                  <a:srgbClr val="969696"/>
                </a:solidFill>
                <a:prstDash val="solid"/>
              </a:ln>
            </c:spPr>
            <c:extLst>
              <c:ext xmlns:c16="http://schemas.microsoft.com/office/drawing/2014/chart" uri="{C3380CC4-5D6E-409C-BE32-E72D297353CC}">
                <c16:uniqueId val="{00000005-FC5E-4587-86B1-CDC99C2C9CCB}"/>
              </c:ext>
            </c:extLst>
          </c:dPt>
          <c:dPt>
            <c:idx val="6"/>
            <c:bubble3D val="0"/>
            <c:spPr>
              <a:solidFill>
                <a:srgbClr val="0066CC"/>
              </a:solidFill>
              <a:ln w="12700">
                <a:solidFill>
                  <a:srgbClr val="969696"/>
                </a:solidFill>
                <a:prstDash val="solid"/>
              </a:ln>
            </c:spPr>
            <c:extLst>
              <c:ext xmlns:c16="http://schemas.microsoft.com/office/drawing/2014/chart" uri="{C3380CC4-5D6E-409C-BE32-E72D297353CC}">
                <c16:uniqueId val="{00000006-FC5E-4587-86B1-CDC99C2C9CCB}"/>
              </c:ext>
            </c:extLst>
          </c:dPt>
          <c:dPt>
            <c:idx val="7"/>
            <c:bubble3D val="0"/>
            <c:spPr>
              <a:solidFill>
                <a:srgbClr val="CCCCFF"/>
              </a:solidFill>
              <a:ln w="12700">
                <a:solidFill>
                  <a:srgbClr val="969696"/>
                </a:solidFill>
                <a:prstDash val="solid"/>
              </a:ln>
            </c:spPr>
            <c:extLst>
              <c:ext xmlns:c16="http://schemas.microsoft.com/office/drawing/2014/chart" uri="{C3380CC4-5D6E-409C-BE32-E72D297353CC}">
                <c16:uniqueId val="{00000007-FC5E-4587-86B1-CDC99C2C9CCB}"/>
              </c:ext>
            </c:extLst>
          </c:dPt>
          <c:dPt>
            <c:idx val="8"/>
            <c:bubble3D val="0"/>
            <c:spPr>
              <a:solidFill>
                <a:srgbClr val="000080"/>
              </a:solidFill>
              <a:ln w="12700">
                <a:solidFill>
                  <a:srgbClr val="969696"/>
                </a:solidFill>
                <a:prstDash val="solid"/>
              </a:ln>
            </c:spPr>
            <c:extLst>
              <c:ext xmlns:c16="http://schemas.microsoft.com/office/drawing/2014/chart" uri="{C3380CC4-5D6E-409C-BE32-E72D297353CC}">
                <c16:uniqueId val="{00000008-FC5E-4587-86B1-CDC99C2C9CCB}"/>
              </c:ext>
            </c:extLst>
          </c:dPt>
          <c:dPt>
            <c:idx val="9"/>
            <c:bubble3D val="0"/>
            <c:spPr>
              <a:solidFill>
                <a:srgbClr val="FF00FF"/>
              </a:solidFill>
              <a:ln w="12700">
                <a:solidFill>
                  <a:srgbClr val="969696"/>
                </a:solidFill>
                <a:prstDash val="solid"/>
              </a:ln>
            </c:spPr>
            <c:extLst>
              <c:ext xmlns:c16="http://schemas.microsoft.com/office/drawing/2014/chart" uri="{C3380CC4-5D6E-409C-BE32-E72D297353CC}">
                <c16:uniqueId val="{00000009-FC5E-4587-86B1-CDC99C2C9CCB}"/>
              </c:ext>
            </c:extLst>
          </c:dPt>
          <c:dLbls>
            <c:dLbl>
              <c:idx val="0"/>
              <c:layout>
                <c:manualLayout>
                  <c:x val="4.6848988912486927E-3"/>
                  <c:y val="-3.3345295247230025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C5E-4587-86B1-CDC99C2C9CCB}"/>
                </c:ext>
              </c:extLst>
            </c:dLbl>
            <c:dLbl>
              <c:idx val="1"/>
              <c:layout>
                <c:manualLayout>
                  <c:x val="-8.9131434808285837E-4"/>
                  <c:y val="-4.0437518389071017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5E-4587-86B1-CDC99C2C9CCB}"/>
                </c:ext>
              </c:extLst>
            </c:dLbl>
            <c:dLbl>
              <c:idx val="2"/>
              <c:layout>
                <c:manualLayout>
                  <c:x val="-4.6087898409705591E-3"/>
                  <c:y val="-3.6891406818150521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C5E-4587-86B1-CDC99C2C9CCB}"/>
                </c:ext>
              </c:extLst>
            </c:dLbl>
            <c:dLbl>
              <c:idx val="3"/>
              <c:layout>
                <c:manualLayout>
                  <c:x val="2.8261611448048424E-3"/>
                  <c:y val="-4.3983629959991513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5E-4587-86B1-CDC99C2C9CCB}"/>
                </c:ext>
              </c:extLst>
            </c:dLbl>
            <c:dLbl>
              <c:idx val="4"/>
              <c:layout>
                <c:manualLayout>
                  <c:x val="1.3978587623467889E-2"/>
                  <c:y val="-3.3345295247230025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C5E-4587-86B1-CDC99C2C9CCB}"/>
                </c:ext>
              </c:extLst>
            </c:dLbl>
            <c:dLbl>
              <c:idx val="8"/>
              <c:layout>
                <c:manualLayout>
                  <c:x val="0.1217853769172111"/>
                  <c:y val="-7.5898634098276033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C5E-4587-86B1-CDC99C2C9CCB}"/>
                </c:ext>
              </c:extLst>
            </c:dLbl>
            <c:dLbl>
              <c:idx val="9"/>
              <c:layout>
                <c:manualLayout>
                  <c:x val="-4.6087898409705591E-3"/>
                  <c:y val="-3.3345295247230025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C5E-4587-86B1-CDC99C2C9CCB}"/>
                </c:ext>
              </c:extLst>
            </c:dLbl>
            <c:dLbl>
              <c:idx val="16"/>
              <c:layout>
                <c:manualLayout>
                  <c:xMode val="edge"/>
                  <c:yMode val="edge"/>
                  <c:x val="8.3643198589973169E-2"/>
                  <c:y val="0.27305059096087847"/>
                </c:manualLayout>
              </c:layout>
              <c:numFmt formatCode="0.0%" sourceLinked="0"/>
              <c:spPr>
                <a:noFill/>
                <a:ln w="25400">
                  <a:noFill/>
                </a:ln>
              </c:spPr>
              <c:txPr>
                <a:bodyPr/>
                <a:lstStyle/>
                <a:p>
                  <a:pPr>
                    <a:defRPr sz="2825"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C5E-4587-86B1-CDC99C2C9CCB}"/>
                </c:ext>
              </c:extLst>
            </c:dLbl>
            <c:dLbl>
              <c:idx val="19"/>
              <c:layout>
                <c:manualLayout>
                  <c:xMode val="edge"/>
                  <c:yMode val="edge"/>
                  <c:x val="0.41635725520342198"/>
                  <c:y val="0.13120612812405849"/>
                </c:manualLayout>
              </c:layout>
              <c:numFmt formatCode="0.0%" sourceLinked="0"/>
              <c:spPr>
                <a:noFill/>
                <a:ln w="25400">
                  <a:noFill/>
                </a:ln>
              </c:spPr>
              <c:txPr>
                <a:bodyPr/>
                <a:lstStyle/>
                <a:p>
                  <a:pPr>
                    <a:defRPr sz="2825"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C5E-4587-86B1-CDC99C2C9CCB}"/>
                </c:ext>
              </c:extLst>
            </c:dLbl>
            <c:numFmt formatCode="0.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1"/>
            <c:showVal val="0"/>
            <c:showCatName val="0"/>
            <c:showSerName val="0"/>
            <c:showPercent val="1"/>
            <c:showBubbleSize val="0"/>
            <c:showLeaderLines val="0"/>
            <c:extLst>
              <c:ext xmlns:c15="http://schemas.microsoft.com/office/drawing/2012/chart" uri="{CE6537A1-D6FC-4f65-9D91-7224C49458BB}"/>
            </c:extLst>
          </c:dLbls>
          <c:cat>
            <c:strRef>
              <c:f>Summary!$B$36:$K$36</c:f>
              <c:strCache>
                <c:ptCount val="10"/>
                <c:pt idx="0">
                  <c:v>Req. Analysis</c:v>
                </c:pt>
                <c:pt idx="1">
                  <c:v>HLD</c:v>
                </c:pt>
                <c:pt idx="2">
                  <c:v>DLD</c:v>
                </c:pt>
                <c:pt idx="3">
                  <c:v>PS</c:v>
                </c:pt>
                <c:pt idx="4">
                  <c:v>TC Prep.</c:v>
                </c:pt>
                <c:pt idx="5">
                  <c:v>Coding</c:v>
                </c:pt>
                <c:pt idx="6">
                  <c:v>UT</c:v>
                </c:pt>
                <c:pt idx="7">
                  <c:v>IT</c:v>
                </c:pt>
                <c:pt idx="8">
                  <c:v>ST</c:v>
                </c:pt>
                <c:pt idx="9">
                  <c:v>Rel.&amp; Impl.</c:v>
                </c:pt>
              </c:strCache>
            </c:strRef>
          </c:cat>
          <c:val>
            <c:numRef>
              <c:f>Summary!$B$38:$K$38</c:f>
              <c:numCache>
                <c:formatCode>0.00;[Red]0.00</c:formatCode>
                <c:ptCount val="10"/>
                <c:pt idx="0">
                  <c:v>0</c:v>
                </c:pt>
                <c:pt idx="1">
                  <c:v>15</c:v>
                </c:pt>
                <c:pt idx="2">
                  <c:v>10</c:v>
                </c:pt>
                <c:pt idx="3">
                  <c:v>20</c:v>
                </c:pt>
                <c:pt idx="4">
                  <c:v>30</c:v>
                </c:pt>
                <c:pt idx="5">
                  <c:v>0</c:v>
                </c:pt>
                <c:pt idx="6">
                  <c:v>5</c:v>
                </c:pt>
                <c:pt idx="7">
                  <c:v>5</c:v>
                </c:pt>
                <c:pt idx="8">
                  <c:v>15</c:v>
                </c:pt>
                <c:pt idx="9">
                  <c:v>0</c:v>
                </c:pt>
              </c:numCache>
            </c:numRef>
          </c:val>
          <c:extLst>
            <c:ext xmlns:c16="http://schemas.microsoft.com/office/drawing/2014/chart" uri="{C3380CC4-5D6E-409C-BE32-E72D297353CC}">
              <c16:uniqueId val="{0000000C-FC5E-4587-86B1-CDC99C2C9CCB}"/>
            </c:ext>
          </c:extLst>
        </c:ser>
        <c:dLbls>
          <c:showLegendKey val="1"/>
          <c:showVal val="0"/>
          <c:showCatName val="0"/>
          <c:showSerName val="0"/>
          <c:showPercent val="1"/>
          <c:showBubbleSize val="0"/>
          <c:showLeaderLines val="0"/>
        </c:dLbls>
      </c:pie3DChart>
      <c:spPr>
        <a:noFill/>
        <a:ln w="25400">
          <a:noFill/>
        </a:ln>
      </c:spPr>
    </c:plotArea>
    <c:legend>
      <c:legendPos val="r"/>
      <c:layout>
        <c:manualLayout>
          <c:xMode val="edge"/>
          <c:yMode val="edge"/>
          <c:x val="0.74963873521640911"/>
          <c:y val="9.8630532817313835E-2"/>
          <c:w val="0.17076712501068778"/>
          <c:h val="0.68767399269849394"/>
        </c:manualLayout>
      </c:layout>
      <c:overlay val="0"/>
      <c:spPr>
        <a:solidFill>
          <a:srgbClr val="FFFFFF"/>
        </a:solidFill>
        <a:ln w="3175">
          <a:solidFill>
            <a:srgbClr val="C0C0C0"/>
          </a:solidFill>
          <a:prstDash val="solid"/>
        </a:ln>
      </c:spPr>
      <c:txPr>
        <a:bodyPr/>
        <a:lstStyle/>
        <a:p>
          <a:pPr>
            <a:defRPr sz="8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2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Cause-wise defect distribution %</a:t>
            </a:r>
          </a:p>
        </c:rich>
      </c:tx>
      <c:layout>
        <c:manualLayout>
          <c:xMode val="edge"/>
          <c:yMode val="edge"/>
          <c:x val="0.25745314356030696"/>
          <c:y val="1.9920318725099601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9.2141165261806782E-2"/>
          <c:y val="0.27091633466135456"/>
          <c:w val="0.69105873946355079"/>
          <c:h val="0.4063745019920319"/>
        </c:manualLayout>
      </c:layout>
      <c:pie3DChart>
        <c:varyColors val="1"/>
        <c:ser>
          <c:idx val="0"/>
          <c:order val="0"/>
          <c:spPr>
            <a:solidFill>
              <a:srgbClr val="9999FF"/>
            </a:solidFill>
            <a:ln w="12700">
              <a:solidFill>
                <a:srgbClr val="C0C0C0"/>
              </a:solidFill>
              <a:prstDash val="solid"/>
            </a:ln>
          </c:spPr>
          <c:explosion val="25"/>
          <c:dPt>
            <c:idx val="0"/>
            <c:bubble3D val="0"/>
            <c:extLst>
              <c:ext xmlns:c16="http://schemas.microsoft.com/office/drawing/2014/chart" uri="{C3380CC4-5D6E-409C-BE32-E72D297353CC}">
                <c16:uniqueId val="{00000000-F86A-426F-9862-4C4285329619}"/>
              </c:ext>
            </c:extLst>
          </c:dPt>
          <c:dPt>
            <c:idx val="1"/>
            <c:bubble3D val="0"/>
            <c:spPr>
              <a:solidFill>
                <a:srgbClr val="993366"/>
              </a:solidFill>
              <a:ln w="12700">
                <a:solidFill>
                  <a:srgbClr val="C0C0C0"/>
                </a:solidFill>
                <a:prstDash val="solid"/>
              </a:ln>
            </c:spPr>
            <c:extLst>
              <c:ext xmlns:c16="http://schemas.microsoft.com/office/drawing/2014/chart" uri="{C3380CC4-5D6E-409C-BE32-E72D297353CC}">
                <c16:uniqueId val="{00000001-F86A-426F-9862-4C4285329619}"/>
              </c:ext>
            </c:extLst>
          </c:dPt>
          <c:dPt>
            <c:idx val="2"/>
            <c:bubble3D val="0"/>
            <c:spPr>
              <a:solidFill>
                <a:srgbClr val="FFFFCC"/>
              </a:solidFill>
              <a:ln w="12700">
                <a:solidFill>
                  <a:srgbClr val="C0C0C0"/>
                </a:solidFill>
                <a:prstDash val="solid"/>
              </a:ln>
            </c:spPr>
            <c:extLst>
              <c:ext xmlns:c16="http://schemas.microsoft.com/office/drawing/2014/chart" uri="{C3380CC4-5D6E-409C-BE32-E72D297353CC}">
                <c16:uniqueId val="{00000002-F86A-426F-9862-4C4285329619}"/>
              </c:ext>
            </c:extLst>
          </c:dPt>
          <c:dPt>
            <c:idx val="3"/>
            <c:bubble3D val="0"/>
            <c:spPr>
              <a:solidFill>
                <a:srgbClr val="CCFFFF"/>
              </a:solidFill>
              <a:ln w="12700">
                <a:solidFill>
                  <a:srgbClr val="C0C0C0"/>
                </a:solidFill>
                <a:prstDash val="solid"/>
              </a:ln>
            </c:spPr>
            <c:extLst>
              <c:ext xmlns:c16="http://schemas.microsoft.com/office/drawing/2014/chart" uri="{C3380CC4-5D6E-409C-BE32-E72D297353CC}">
                <c16:uniqueId val="{00000003-F86A-426F-9862-4C4285329619}"/>
              </c:ext>
            </c:extLst>
          </c:dPt>
          <c:dPt>
            <c:idx val="4"/>
            <c:bubble3D val="0"/>
            <c:spPr>
              <a:solidFill>
                <a:srgbClr val="339966"/>
              </a:solidFill>
              <a:ln w="12700">
                <a:solidFill>
                  <a:srgbClr val="C0C0C0"/>
                </a:solidFill>
                <a:prstDash val="solid"/>
              </a:ln>
            </c:spPr>
            <c:extLst>
              <c:ext xmlns:c16="http://schemas.microsoft.com/office/drawing/2014/chart" uri="{C3380CC4-5D6E-409C-BE32-E72D297353CC}">
                <c16:uniqueId val="{00000004-F86A-426F-9862-4C4285329619}"/>
              </c:ext>
            </c:extLst>
          </c:dPt>
          <c:dPt>
            <c:idx val="5"/>
            <c:bubble3D val="0"/>
            <c:spPr>
              <a:solidFill>
                <a:srgbClr val="FF8080"/>
              </a:solidFill>
              <a:ln w="12700">
                <a:solidFill>
                  <a:srgbClr val="C0C0C0"/>
                </a:solidFill>
                <a:prstDash val="solid"/>
              </a:ln>
            </c:spPr>
            <c:extLst>
              <c:ext xmlns:c16="http://schemas.microsoft.com/office/drawing/2014/chart" uri="{C3380CC4-5D6E-409C-BE32-E72D297353CC}">
                <c16:uniqueId val="{00000005-F86A-426F-9862-4C4285329619}"/>
              </c:ext>
            </c:extLst>
          </c:dPt>
          <c:dPt>
            <c:idx val="6"/>
            <c:bubble3D val="0"/>
            <c:spPr>
              <a:solidFill>
                <a:srgbClr val="0066CC"/>
              </a:solidFill>
              <a:ln w="12700">
                <a:solidFill>
                  <a:srgbClr val="C0C0C0"/>
                </a:solidFill>
                <a:prstDash val="solid"/>
              </a:ln>
            </c:spPr>
            <c:extLst>
              <c:ext xmlns:c16="http://schemas.microsoft.com/office/drawing/2014/chart" uri="{C3380CC4-5D6E-409C-BE32-E72D297353CC}">
                <c16:uniqueId val="{00000006-F86A-426F-9862-4C4285329619}"/>
              </c:ext>
            </c:extLst>
          </c:dPt>
          <c:dLbls>
            <c:dLbl>
              <c:idx val="0"/>
              <c:layout>
                <c:manualLayout>
                  <c:x val="6.1713662297783033E-3"/>
                  <c:y val="-3.4874047118612174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6A-426F-9862-4C4285329619}"/>
                </c:ext>
              </c:extLst>
            </c:dLbl>
            <c:dLbl>
              <c:idx val="1"/>
              <c:layout>
                <c:manualLayout>
                  <c:x val="1.4301469046996513E-2"/>
                  <c:y val="-3.8858110863632091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6A-426F-9862-4C4285329619}"/>
                </c:ext>
              </c:extLst>
            </c:dLbl>
            <c:dLbl>
              <c:idx val="2"/>
              <c:layout>
                <c:manualLayout>
                  <c:x val="-7.3788051322521021E-3"/>
                  <c:y val="-3.8858110863632091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86A-426F-9862-4C4285329619}"/>
                </c:ext>
              </c:extLst>
            </c:dLbl>
            <c:dLbl>
              <c:idx val="3"/>
              <c:layout>
                <c:manualLayout>
                  <c:x val="-1.9587365874399621E-3"/>
                  <c:y val="-3.0889983373592257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86A-426F-9862-4C4285329619}"/>
                </c:ext>
              </c:extLst>
            </c:dLbl>
            <c:dLbl>
              <c:idx val="4"/>
              <c:layout>
                <c:manualLayout>
                  <c:x val="3.0561674681433046E-2"/>
                  <c:y val="-3.0889983373592257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86A-426F-9862-4C4285329619}"/>
                </c:ext>
              </c:extLst>
            </c:dLbl>
            <c:dLbl>
              <c:idx val="6"/>
              <c:layout>
                <c:manualLayout>
                  <c:x val="3.4613319573721778E-3"/>
                  <c:y val="-3.0889983373592257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86A-426F-9862-4C4285329619}"/>
                </c:ext>
              </c:extLst>
            </c:dLbl>
            <c:dLbl>
              <c:idx val="9"/>
              <c:layout>
                <c:manualLayout>
                  <c:xMode val="edge"/>
                  <c:yMode val="edge"/>
                  <c:x val="0.24932315306135952"/>
                  <c:y val="7.1713147410358571E-2"/>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86A-426F-9862-4C4285329619}"/>
                </c:ext>
              </c:extLst>
            </c:dLbl>
            <c:dLbl>
              <c:idx val="16"/>
              <c:layout>
                <c:manualLayout>
                  <c:xMode val="edge"/>
                  <c:yMode val="edge"/>
                  <c:x val="0.12195154225827368"/>
                  <c:y val="0.30677290836653387"/>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86A-426F-9862-4C4285329619}"/>
                </c:ext>
              </c:extLst>
            </c:dLbl>
            <c:dLbl>
              <c:idx val="19"/>
              <c:layout>
                <c:manualLayout>
                  <c:xMode val="edge"/>
                  <c:yMode val="edge"/>
                  <c:x val="0.60704767701896234"/>
                  <c:y val="0.14741035856573706"/>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86A-426F-9862-4C4285329619}"/>
                </c:ext>
              </c:extLst>
            </c:dLbl>
            <c:numFmt formatCode="0.0;[Red]0.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1"/>
            <c:showVal val="1"/>
            <c:showCatName val="0"/>
            <c:showSerName val="0"/>
            <c:showPercent val="0"/>
            <c:showBubbleSize val="0"/>
            <c:showLeaderLines val="0"/>
            <c:extLst>
              <c:ext xmlns:c15="http://schemas.microsoft.com/office/drawing/2012/chart" uri="{CE6537A1-D6FC-4f65-9D91-7224C49458BB}"/>
            </c:extLst>
          </c:dLbls>
          <c:cat>
            <c:strRef>
              <c:f>'Defect Data'!$A$30:$A$36</c:f>
              <c:strCache>
                <c:ptCount val="7"/>
                <c:pt idx="0">
                  <c:v>CO</c:v>
                </c:pt>
                <c:pt idx="1">
                  <c:v>OV</c:v>
                </c:pt>
                <c:pt idx="2">
                  <c:v>UN</c:v>
                </c:pt>
                <c:pt idx="3">
                  <c:v>EX</c:v>
                </c:pt>
                <c:pt idx="4">
                  <c:v>IK</c:v>
                </c:pt>
                <c:pt idx="5">
                  <c:v>IS</c:v>
                </c:pt>
                <c:pt idx="6">
                  <c:v>NA</c:v>
                </c:pt>
              </c:strCache>
            </c:strRef>
          </c:cat>
          <c:val>
            <c:numRef>
              <c:f>'Defect Data'!$G$30:$G$36</c:f>
              <c:numCache>
                <c:formatCode>0.00;[Red]0.00</c:formatCode>
                <c:ptCount val="7"/>
                <c:pt idx="0">
                  <c:v>20</c:v>
                </c:pt>
                <c:pt idx="1">
                  <c:v>26.666666666666668</c:v>
                </c:pt>
                <c:pt idx="2">
                  <c:v>13.333333333333334</c:v>
                </c:pt>
                <c:pt idx="3">
                  <c:v>0</c:v>
                </c:pt>
                <c:pt idx="4">
                  <c:v>20</c:v>
                </c:pt>
                <c:pt idx="5">
                  <c:v>20</c:v>
                </c:pt>
                <c:pt idx="6">
                  <c:v>0</c:v>
                </c:pt>
              </c:numCache>
            </c:numRef>
          </c:val>
          <c:extLst>
            <c:ext xmlns:c16="http://schemas.microsoft.com/office/drawing/2014/chart" uri="{C3380CC4-5D6E-409C-BE32-E72D297353CC}">
              <c16:uniqueId val="{0000000A-F86A-426F-9862-4C4285329619}"/>
            </c:ext>
          </c:extLst>
        </c:ser>
        <c:dLbls>
          <c:showLegendKey val="1"/>
          <c:showVal val="1"/>
          <c:showCatName val="0"/>
          <c:showSerName val="0"/>
          <c:showPercent val="0"/>
          <c:showBubbleSize val="0"/>
          <c:showLeaderLines val="0"/>
        </c:dLbls>
      </c:pie3DChart>
      <c:spPr>
        <a:noFill/>
        <a:ln w="25400">
          <a:noFill/>
        </a:ln>
      </c:spPr>
    </c:plotArea>
    <c:legend>
      <c:legendPos val="r"/>
      <c:layout>
        <c:manualLayout>
          <c:xMode val="edge"/>
          <c:yMode val="edge"/>
          <c:x val="0.88631738389743198"/>
          <c:y val="0.25846221801214175"/>
          <c:w val="0.101052813365978"/>
          <c:h val="0.54153988535877307"/>
        </c:manualLayout>
      </c:layout>
      <c:overlay val="0"/>
      <c:spPr>
        <a:solidFill>
          <a:srgbClr val="FFFFFF"/>
        </a:solidFill>
        <a:ln w="3175">
          <a:solidFill>
            <a:srgbClr val="C0C0C0"/>
          </a:solidFill>
          <a:prstDash val="solid"/>
        </a:ln>
      </c:spPr>
      <c:txPr>
        <a:bodyPr/>
        <a:lstStyle/>
        <a:p>
          <a:pPr>
            <a:defRPr sz="8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2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Schedule Variance %</a:t>
            </a:r>
          </a:p>
        </c:rich>
      </c:tx>
      <c:layout>
        <c:manualLayout>
          <c:xMode val="edge"/>
          <c:yMode val="edge"/>
          <c:x val="0.39261744966442952"/>
          <c:y val="2.553191489361702E-2"/>
        </c:manualLayout>
      </c:layout>
      <c:overlay val="0"/>
      <c:spPr>
        <a:noFill/>
        <a:ln w="25400">
          <a:noFill/>
        </a:ln>
      </c:spPr>
    </c:title>
    <c:autoTitleDeleted val="0"/>
    <c:plotArea>
      <c:layout>
        <c:manualLayout>
          <c:layoutTarget val="inner"/>
          <c:xMode val="edge"/>
          <c:yMode val="edge"/>
          <c:x val="5.2013422818791948E-2"/>
          <c:y val="6.8085247849999683E-2"/>
          <c:w val="0.91442953020134232"/>
          <c:h val="0.59149059069687226"/>
        </c:manualLayout>
      </c:layout>
      <c:lineChart>
        <c:grouping val="standard"/>
        <c:varyColors val="0"/>
        <c:ser>
          <c:idx val="0"/>
          <c:order val="0"/>
          <c:spPr>
            <a:ln w="25400">
              <a:solidFill>
                <a:srgbClr val="0000FF"/>
              </a:solidFill>
              <a:prstDash val="solid"/>
            </a:ln>
          </c:spPr>
          <c:marker>
            <c:symbol val="square"/>
            <c:size val="4"/>
            <c:spPr>
              <a:solidFill>
                <a:srgbClr val="FFFF00"/>
              </a:solidFill>
              <a:ln>
                <a:solidFill>
                  <a:srgbClr val="000080"/>
                </a:solidFill>
                <a:prstDash val="solid"/>
              </a:ln>
            </c:spPr>
          </c:marker>
          <c:cat>
            <c:strRef>
              <c:f>'Effort and Schedule'!$A$44:$A$61</c:f>
              <c:strCache>
                <c:ptCount val="17"/>
                <c:pt idx="0">
                  <c:v>Acceptance of Requirement documentation</c:v>
                </c:pt>
                <c:pt idx="1">
                  <c:v>Acceptance of Estimation Documentation </c:v>
                </c:pt>
                <c:pt idx="2">
                  <c:v>Creation of Planning Documents</c:v>
                </c:pt>
                <c:pt idx="3">
                  <c:v>Acceptance of HLD Documents</c:v>
                </c:pt>
                <c:pt idx="4">
                  <c:v>Acceptance of DLD Documents</c:v>
                </c:pt>
                <c:pt idx="5">
                  <c:v>Acceptance of Testing Documents</c:v>
                </c:pt>
                <c:pt idx="6">
                  <c:v>Acceptance of Metric Documentation</c:v>
                </c:pt>
                <c:pt idx="7">
                  <c:v>Mile Stone 8</c:v>
                </c:pt>
                <c:pt idx="8">
                  <c:v>Mile Stone 9</c:v>
                </c:pt>
                <c:pt idx="9">
                  <c:v>Mile Stone 10</c:v>
                </c:pt>
                <c:pt idx="10">
                  <c:v>Mile Stone 11</c:v>
                </c:pt>
                <c:pt idx="11">
                  <c:v>Mile Stone 12</c:v>
                </c:pt>
                <c:pt idx="12">
                  <c:v>Mile Stone 13</c:v>
                </c:pt>
                <c:pt idx="13">
                  <c:v>Mile Stone 14</c:v>
                </c:pt>
                <c:pt idx="14">
                  <c:v>Mile Stone 15</c:v>
                </c:pt>
                <c:pt idx="15">
                  <c:v>Mile Stone 16</c:v>
                </c:pt>
                <c:pt idx="16">
                  <c:v>Mile Stone 17</c:v>
                </c:pt>
              </c:strCache>
            </c:strRef>
          </c:cat>
          <c:val>
            <c:numRef>
              <c:f>'Effort and Schedule'!$D$44:$D$61</c:f>
              <c:numCache>
                <c:formatCode>0.00</c:formatCode>
                <c:ptCount val="18"/>
                <c:pt idx="0">
                  <c:v>-13.636363636363637</c:v>
                </c:pt>
                <c:pt idx="1">
                  <c:v>-20</c:v>
                </c:pt>
                <c:pt idx="2">
                  <c:v>-9.0909090909090917</c:v>
                </c:pt>
                <c:pt idx="3">
                  <c:v>10</c:v>
                </c:pt>
                <c:pt idx="4">
                  <c:v>53.191489361702125</c:v>
                </c:pt>
                <c:pt idx="5">
                  <c:v>11.111111111111111</c:v>
                </c:pt>
                <c:pt idx="6">
                  <c:v>0</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5936-432B-863A-8BA6AB76BA36}"/>
            </c:ext>
          </c:extLst>
        </c:ser>
        <c:dLbls>
          <c:showLegendKey val="0"/>
          <c:showVal val="0"/>
          <c:showCatName val="0"/>
          <c:showSerName val="0"/>
          <c:showPercent val="0"/>
          <c:showBubbleSize val="0"/>
        </c:dLbls>
        <c:marker val="1"/>
        <c:smooth val="0"/>
        <c:axId val="468636400"/>
        <c:axId val="1"/>
      </c:lineChart>
      <c:catAx>
        <c:axId val="468636400"/>
        <c:scaling>
          <c:orientation val="minMax"/>
        </c:scaling>
        <c:delete val="0"/>
        <c:axPos val="b"/>
        <c:numFmt formatCode="General" sourceLinked="1"/>
        <c:majorTickMark val="out"/>
        <c:minorTickMark val="none"/>
        <c:tickLblPos val="nextTo"/>
        <c:spPr>
          <a:ln w="25400">
            <a:solidFill>
              <a:srgbClr val="C0C0C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68636400"/>
        <c:crosses val="autoZero"/>
        <c:crossBetween val="between"/>
        <c:majorUnit val="10"/>
        <c:minorUnit val="5"/>
      </c:valAx>
      <c:spPr>
        <a:solidFill>
          <a:srgbClr val="FFFFCC"/>
        </a:solid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oddHeader>&amp;C&amp;"Arial,Bold"&amp;9MAP</c:oddHeader>
      <c:oddFooter>&amp;L&amp;8PM-04-01
Ver 3.0/25-Sep-03&amp;C&amp;"Arial,Bold"&amp;9© L&amp;&amp;T Infotech&amp;"Arial,Regular"&amp;10
&amp;8For Internal Use Only&amp;R&amp;9&amp;Pof &amp;P</c:oddFooter>
    </c:headerFooter>
    <c:pageMargins b="0.75" l="0.5" r="0.5" t="0.5" header="0.5" footer="0.5"/>
    <c:pageSetup paperSize="9" orientation="portrait" horizontalDpi="0" verticalDpi="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Cause Pareto Chart - Catogarywise Impact %</a:t>
            </a:r>
          </a:p>
        </c:rich>
      </c:tx>
      <c:layout>
        <c:manualLayout>
          <c:xMode val="edge"/>
          <c:yMode val="edge"/>
          <c:x val="0.19649825872933196"/>
          <c:y val="1.9607843137254902E-2"/>
        </c:manualLayout>
      </c:layout>
      <c:overlay val="0"/>
      <c:spPr>
        <a:noFill/>
        <a:ln w="25400">
          <a:noFill/>
        </a:ln>
      </c:spPr>
    </c:title>
    <c:autoTitleDeleted val="0"/>
    <c:plotArea>
      <c:layout>
        <c:manualLayout>
          <c:layoutTarget val="inner"/>
          <c:xMode val="edge"/>
          <c:yMode val="edge"/>
          <c:x val="7.393003132032705E-2"/>
          <c:y val="0.1647065131223695"/>
          <c:w val="0.91439775580404514"/>
          <c:h val="0.70196347259295566"/>
        </c:manualLayout>
      </c:layout>
      <c:barChart>
        <c:barDir val="col"/>
        <c:grouping val="clustered"/>
        <c:varyColors val="0"/>
        <c:ser>
          <c:idx val="1"/>
          <c:order val="0"/>
          <c:spPr>
            <a:solidFill>
              <a:srgbClr val="993366"/>
            </a:solidFill>
            <a:ln w="12700">
              <a:solidFill>
                <a:srgbClr val="C0C0C0"/>
              </a:solidFill>
              <a:prstDash val="solid"/>
            </a:ln>
          </c:spPr>
          <c:invertIfNegative val="0"/>
          <c:cat>
            <c:strRef>
              <c:f>'Defect Data'!$A$51:$A$60</c:f>
              <c:strCache>
                <c:ptCount val="10"/>
                <c:pt idx="0">
                  <c:v>CL</c:v>
                </c:pt>
                <c:pt idx="1">
                  <c:v>ST</c:v>
                </c:pt>
                <c:pt idx="2">
                  <c:v>MS</c:v>
                </c:pt>
                <c:pt idx="3">
                  <c:v>CP</c:v>
                </c:pt>
                <c:pt idx="4">
                  <c:v>IF</c:v>
                </c:pt>
                <c:pt idx="5">
                  <c:v>LO</c:v>
                </c:pt>
                <c:pt idx="6">
                  <c:v>OP</c:v>
                </c:pt>
                <c:pt idx="7">
                  <c:v>DA</c:v>
                </c:pt>
                <c:pt idx="8">
                  <c:v>US</c:v>
                </c:pt>
                <c:pt idx="9">
                  <c:v>NR</c:v>
                </c:pt>
              </c:strCache>
            </c:strRef>
          </c:cat>
          <c:val>
            <c:numRef>
              <c:f>'Defect Data'!$B$51:$B$60</c:f>
              <c:numCache>
                <c:formatCode>0.00;[Red]0.00</c:formatCode>
                <c:ptCount val="10"/>
                <c:pt idx="0">
                  <c:v>45.945945945945951</c:v>
                </c:pt>
                <c:pt idx="1">
                  <c:v>32.432432432432435</c:v>
                </c:pt>
                <c:pt idx="2">
                  <c:v>18.918918918918919</c:v>
                </c:pt>
                <c:pt idx="3">
                  <c:v>2.7027027027027026</c:v>
                </c:pt>
                <c:pt idx="4">
                  <c:v>0</c:v>
                </c:pt>
                <c:pt idx="5">
                  <c:v>0</c:v>
                </c:pt>
                <c:pt idx="6">
                  <c:v>0</c:v>
                </c:pt>
                <c:pt idx="7">
                  <c:v>0</c:v>
                </c:pt>
                <c:pt idx="8">
                  <c:v>0</c:v>
                </c:pt>
                <c:pt idx="9">
                  <c:v>0</c:v>
                </c:pt>
              </c:numCache>
            </c:numRef>
          </c:val>
          <c:extLst>
            <c:ext xmlns:c16="http://schemas.microsoft.com/office/drawing/2014/chart" uri="{C3380CC4-5D6E-409C-BE32-E72D297353CC}">
              <c16:uniqueId val="{00000000-7045-4CB1-A22E-CAA35691E605}"/>
            </c:ext>
          </c:extLst>
        </c:ser>
        <c:dLbls>
          <c:showLegendKey val="0"/>
          <c:showVal val="0"/>
          <c:showCatName val="0"/>
          <c:showSerName val="0"/>
          <c:showPercent val="0"/>
          <c:showBubbleSize val="0"/>
        </c:dLbls>
        <c:gapWidth val="150"/>
        <c:axId val="468632240"/>
        <c:axId val="1"/>
      </c:barChart>
      <c:lineChart>
        <c:grouping val="standard"/>
        <c:varyColors val="0"/>
        <c:ser>
          <c:idx val="0"/>
          <c:order val="1"/>
          <c:spPr>
            <a:ln w="25400">
              <a:solidFill>
                <a:srgbClr val="FF6600"/>
              </a:solidFill>
              <a:prstDash val="solid"/>
            </a:ln>
          </c:spPr>
          <c:marker>
            <c:symbol val="square"/>
            <c:size val="5"/>
            <c:spPr>
              <a:solidFill>
                <a:srgbClr val="FFFFFF"/>
              </a:solidFill>
              <a:ln>
                <a:solidFill>
                  <a:srgbClr val="000000"/>
                </a:solidFill>
                <a:prstDash val="solid"/>
              </a:ln>
            </c:spPr>
          </c:marker>
          <c:dLbls>
            <c:numFmt formatCode="0.0;[Red]0.0" sourceLinked="0"/>
            <c:spPr>
              <a:noFill/>
              <a:ln w="25400">
                <a:noFill/>
              </a:ln>
            </c:spPr>
            <c:txPr>
              <a:bodyPr wrap="square" lIns="38100" tIns="19050" rIns="38100" bIns="19050" anchor="ctr">
                <a:spAutoFit/>
              </a:bodyPr>
              <a:lstStyle/>
              <a:p>
                <a:pPr>
                  <a:defRPr sz="8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Data'!$A$51:$A$60</c:f>
              <c:strCache>
                <c:ptCount val="10"/>
                <c:pt idx="0">
                  <c:v>CL</c:v>
                </c:pt>
                <c:pt idx="1">
                  <c:v>ST</c:v>
                </c:pt>
                <c:pt idx="2">
                  <c:v>MS</c:v>
                </c:pt>
                <c:pt idx="3">
                  <c:v>CP</c:v>
                </c:pt>
                <c:pt idx="4">
                  <c:v>IF</c:v>
                </c:pt>
                <c:pt idx="5">
                  <c:v>LO</c:v>
                </c:pt>
                <c:pt idx="6">
                  <c:v>OP</c:v>
                </c:pt>
                <c:pt idx="7">
                  <c:v>DA</c:v>
                </c:pt>
                <c:pt idx="8">
                  <c:v>US</c:v>
                </c:pt>
                <c:pt idx="9">
                  <c:v>NR</c:v>
                </c:pt>
              </c:strCache>
            </c:strRef>
          </c:cat>
          <c:val>
            <c:numRef>
              <c:f>'Defect Data'!$C$51:$C$60</c:f>
              <c:numCache>
                <c:formatCode>0.00;[Red]0.00</c:formatCode>
                <c:ptCount val="10"/>
                <c:pt idx="0">
                  <c:v>45.945945945945951</c:v>
                </c:pt>
                <c:pt idx="1">
                  <c:v>78.378378378378386</c:v>
                </c:pt>
                <c:pt idx="2">
                  <c:v>97.297297297297305</c:v>
                </c:pt>
                <c:pt idx="3">
                  <c:v>100.00000000000001</c:v>
                </c:pt>
                <c:pt idx="4">
                  <c:v>100.00000000000001</c:v>
                </c:pt>
                <c:pt idx="5">
                  <c:v>100.00000000000001</c:v>
                </c:pt>
                <c:pt idx="6">
                  <c:v>100.00000000000001</c:v>
                </c:pt>
                <c:pt idx="7">
                  <c:v>100.00000000000001</c:v>
                </c:pt>
                <c:pt idx="8">
                  <c:v>100.00000000000001</c:v>
                </c:pt>
                <c:pt idx="9">
                  <c:v>100.00000000000001</c:v>
                </c:pt>
              </c:numCache>
            </c:numRef>
          </c:val>
          <c:smooth val="0"/>
          <c:extLst>
            <c:ext xmlns:c16="http://schemas.microsoft.com/office/drawing/2014/chart" uri="{C3380CC4-5D6E-409C-BE32-E72D297353CC}">
              <c16:uniqueId val="{00000001-7045-4CB1-A22E-CAA35691E605}"/>
            </c:ext>
          </c:extLst>
        </c:ser>
        <c:dLbls>
          <c:showLegendKey val="0"/>
          <c:showVal val="0"/>
          <c:showCatName val="0"/>
          <c:showSerName val="0"/>
          <c:showPercent val="0"/>
          <c:showBubbleSize val="0"/>
        </c:dLbls>
        <c:marker val="1"/>
        <c:smooth val="0"/>
        <c:axId val="468632240"/>
        <c:axId val="1"/>
      </c:lineChart>
      <c:catAx>
        <c:axId val="468632240"/>
        <c:scaling>
          <c:orientation val="minMax"/>
        </c:scaling>
        <c:delete val="0"/>
        <c:axPos val="b"/>
        <c:numFmt formatCode="General" sourceLinked="1"/>
        <c:majorTickMark val="cross"/>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max val="100"/>
          <c:min val="0"/>
        </c:scaling>
        <c:delete val="0"/>
        <c:axPos val="l"/>
        <c:majorGridlines>
          <c:spPr>
            <a:ln w="3175">
              <a:solidFill>
                <a:srgbClr val="C0C0C0"/>
              </a:solidFill>
              <a:prstDash val="sysDash"/>
            </a:ln>
          </c:spPr>
        </c:majorGridlines>
        <c:numFmt formatCode="0;[Red]0" sourceLinked="0"/>
        <c:majorTickMark val="cross"/>
        <c:minorTickMark val="none"/>
        <c:tickLblPos val="nextTo"/>
        <c:spPr>
          <a:ln w="25400">
            <a:solidFill>
              <a:srgbClr val="C0C0C0"/>
            </a:solidFill>
            <a:prstDash val="solid"/>
          </a:ln>
        </c:spPr>
        <c:txPr>
          <a:bodyPr rot="0" vert="horz"/>
          <a:lstStyle/>
          <a:p>
            <a:pPr>
              <a:defRPr sz="900" b="1" i="0" u="none" strike="noStrike" baseline="0">
                <a:solidFill>
                  <a:srgbClr val="000000"/>
                </a:solidFill>
                <a:latin typeface="Arial"/>
                <a:ea typeface="Arial"/>
                <a:cs typeface="Arial"/>
              </a:defRPr>
            </a:pPr>
            <a:endParaRPr lang="en-US"/>
          </a:p>
        </c:txPr>
        <c:crossAx val="468632240"/>
        <c:crosses val="autoZero"/>
        <c:crossBetween val="between"/>
        <c:majorUnit val="25"/>
        <c:minorUnit val="10"/>
      </c:valAx>
      <c:spPr>
        <a:solidFill>
          <a:srgbClr val="FFFFFF"/>
        </a:solidFill>
        <a:ln w="12700">
          <a:solidFill>
            <a:srgbClr val="C0C0C0"/>
          </a:solidFill>
          <a:prstDash val="solid"/>
        </a:ln>
      </c:spPr>
    </c:plotArea>
    <c:plotVisOnly val="1"/>
    <c:dispBlanksAs val="gap"/>
    <c:showDLblsOverMax val="0"/>
  </c:chart>
  <c:spPr>
    <a:solidFill>
      <a:srgbClr val="CC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Category-wise defect distribution %</a:t>
            </a:r>
          </a:p>
        </c:rich>
      </c:tx>
      <c:layout>
        <c:manualLayout>
          <c:xMode val="edge"/>
          <c:yMode val="edge"/>
          <c:x val="0.27007375902829667"/>
          <c:y val="1.984126984126984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9.4890736415413096E-2"/>
          <c:y val="0.22222308339178523"/>
          <c:w val="0.70559778360178971"/>
          <c:h val="0.46031924416869796"/>
        </c:manualLayout>
      </c:layout>
      <c:pie3DChart>
        <c:varyColors val="1"/>
        <c:ser>
          <c:idx val="0"/>
          <c:order val="0"/>
          <c:spPr>
            <a:solidFill>
              <a:srgbClr val="9999FF"/>
            </a:solidFill>
            <a:ln w="12700">
              <a:solidFill>
                <a:srgbClr val="C0C0C0"/>
              </a:solidFill>
              <a:prstDash val="solid"/>
            </a:ln>
          </c:spPr>
          <c:explosion val="25"/>
          <c:dPt>
            <c:idx val="0"/>
            <c:bubble3D val="0"/>
            <c:extLst>
              <c:ext xmlns:c16="http://schemas.microsoft.com/office/drawing/2014/chart" uri="{C3380CC4-5D6E-409C-BE32-E72D297353CC}">
                <c16:uniqueId val="{00000000-B6B4-499C-B1F9-5AEFF8FB11AE}"/>
              </c:ext>
            </c:extLst>
          </c:dPt>
          <c:dPt>
            <c:idx val="1"/>
            <c:bubble3D val="0"/>
            <c:spPr>
              <a:solidFill>
                <a:srgbClr val="993366"/>
              </a:solidFill>
              <a:ln w="12700">
                <a:solidFill>
                  <a:srgbClr val="C0C0C0"/>
                </a:solidFill>
                <a:prstDash val="solid"/>
              </a:ln>
            </c:spPr>
            <c:extLst>
              <c:ext xmlns:c16="http://schemas.microsoft.com/office/drawing/2014/chart" uri="{C3380CC4-5D6E-409C-BE32-E72D297353CC}">
                <c16:uniqueId val="{00000001-B6B4-499C-B1F9-5AEFF8FB11AE}"/>
              </c:ext>
            </c:extLst>
          </c:dPt>
          <c:dPt>
            <c:idx val="2"/>
            <c:bubble3D val="0"/>
            <c:spPr>
              <a:solidFill>
                <a:srgbClr val="FFFFCC"/>
              </a:solidFill>
              <a:ln w="12700">
                <a:solidFill>
                  <a:srgbClr val="C0C0C0"/>
                </a:solidFill>
                <a:prstDash val="solid"/>
              </a:ln>
            </c:spPr>
            <c:extLst>
              <c:ext xmlns:c16="http://schemas.microsoft.com/office/drawing/2014/chart" uri="{C3380CC4-5D6E-409C-BE32-E72D297353CC}">
                <c16:uniqueId val="{00000002-B6B4-499C-B1F9-5AEFF8FB11AE}"/>
              </c:ext>
            </c:extLst>
          </c:dPt>
          <c:dPt>
            <c:idx val="3"/>
            <c:bubble3D val="0"/>
            <c:spPr>
              <a:solidFill>
                <a:srgbClr val="CCFFFF"/>
              </a:solidFill>
              <a:ln w="12700">
                <a:solidFill>
                  <a:srgbClr val="C0C0C0"/>
                </a:solidFill>
                <a:prstDash val="solid"/>
              </a:ln>
            </c:spPr>
            <c:extLst>
              <c:ext xmlns:c16="http://schemas.microsoft.com/office/drawing/2014/chart" uri="{C3380CC4-5D6E-409C-BE32-E72D297353CC}">
                <c16:uniqueId val="{00000003-B6B4-499C-B1F9-5AEFF8FB11AE}"/>
              </c:ext>
            </c:extLst>
          </c:dPt>
          <c:dPt>
            <c:idx val="4"/>
            <c:bubble3D val="0"/>
            <c:spPr>
              <a:solidFill>
                <a:srgbClr val="660066"/>
              </a:solidFill>
              <a:ln w="12700">
                <a:solidFill>
                  <a:srgbClr val="C0C0C0"/>
                </a:solidFill>
                <a:prstDash val="solid"/>
              </a:ln>
            </c:spPr>
            <c:extLst>
              <c:ext xmlns:c16="http://schemas.microsoft.com/office/drawing/2014/chart" uri="{C3380CC4-5D6E-409C-BE32-E72D297353CC}">
                <c16:uniqueId val="{00000004-B6B4-499C-B1F9-5AEFF8FB11AE}"/>
              </c:ext>
            </c:extLst>
          </c:dPt>
          <c:dPt>
            <c:idx val="5"/>
            <c:bubble3D val="0"/>
            <c:spPr>
              <a:solidFill>
                <a:srgbClr val="FF8080"/>
              </a:solidFill>
              <a:ln w="12700">
                <a:solidFill>
                  <a:srgbClr val="C0C0C0"/>
                </a:solidFill>
                <a:prstDash val="solid"/>
              </a:ln>
            </c:spPr>
            <c:extLst>
              <c:ext xmlns:c16="http://schemas.microsoft.com/office/drawing/2014/chart" uri="{C3380CC4-5D6E-409C-BE32-E72D297353CC}">
                <c16:uniqueId val="{00000005-B6B4-499C-B1F9-5AEFF8FB11AE}"/>
              </c:ext>
            </c:extLst>
          </c:dPt>
          <c:dPt>
            <c:idx val="6"/>
            <c:bubble3D val="0"/>
            <c:spPr>
              <a:solidFill>
                <a:srgbClr val="0066CC"/>
              </a:solidFill>
              <a:ln w="12700">
                <a:solidFill>
                  <a:srgbClr val="C0C0C0"/>
                </a:solidFill>
                <a:prstDash val="solid"/>
              </a:ln>
            </c:spPr>
            <c:extLst>
              <c:ext xmlns:c16="http://schemas.microsoft.com/office/drawing/2014/chart" uri="{C3380CC4-5D6E-409C-BE32-E72D297353CC}">
                <c16:uniqueId val="{00000006-B6B4-499C-B1F9-5AEFF8FB11AE}"/>
              </c:ext>
            </c:extLst>
          </c:dPt>
          <c:dPt>
            <c:idx val="7"/>
            <c:bubble3D val="0"/>
            <c:spPr>
              <a:solidFill>
                <a:srgbClr val="008080"/>
              </a:solidFill>
              <a:ln w="12700">
                <a:solidFill>
                  <a:srgbClr val="C0C0C0"/>
                </a:solidFill>
                <a:prstDash val="solid"/>
              </a:ln>
            </c:spPr>
            <c:extLst>
              <c:ext xmlns:c16="http://schemas.microsoft.com/office/drawing/2014/chart" uri="{C3380CC4-5D6E-409C-BE32-E72D297353CC}">
                <c16:uniqueId val="{00000007-B6B4-499C-B1F9-5AEFF8FB11AE}"/>
              </c:ext>
            </c:extLst>
          </c:dPt>
          <c:dPt>
            <c:idx val="8"/>
            <c:bubble3D val="0"/>
            <c:spPr>
              <a:solidFill>
                <a:srgbClr val="FFFFFF"/>
              </a:solidFill>
              <a:ln w="12700">
                <a:solidFill>
                  <a:srgbClr val="C0C0C0"/>
                </a:solidFill>
                <a:prstDash val="solid"/>
              </a:ln>
            </c:spPr>
            <c:extLst>
              <c:ext xmlns:c16="http://schemas.microsoft.com/office/drawing/2014/chart" uri="{C3380CC4-5D6E-409C-BE32-E72D297353CC}">
                <c16:uniqueId val="{00000008-B6B4-499C-B1F9-5AEFF8FB11AE}"/>
              </c:ext>
            </c:extLst>
          </c:dPt>
          <c:dPt>
            <c:idx val="9"/>
            <c:bubble3D val="0"/>
            <c:spPr>
              <a:solidFill>
                <a:srgbClr val="FF00FF"/>
              </a:solidFill>
              <a:ln w="12700">
                <a:solidFill>
                  <a:srgbClr val="C0C0C0"/>
                </a:solidFill>
                <a:prstDash val="solid"/>
              </a:ln>
            </c:spPr>
            <c:extLst>
              <c:ext xmlns:c16="http://schemas.microsoft.com/office/drawing/2014/chart" uri="{C3380CC4-5D6E-409C-BE32-E72D297353CC}">
                <c16:uniqueId val="{00000009-B6B4-499C-B1F9-5AEFF8FB11AE}"/>
              </c:ext>
            </c:extLst>
          </c:dPt>
          <c:dLbls>
            <c:dLbl>
              <c:idx val="0"/>
              <c:layout>
                <c:manualLayout>
                  <c:x val="6.756915068531444E-3"/>
                  <c:y val="-3.8012179419416502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6B4-499C-B1F9-5AEFF8FB11AE}"/>
                </c:ext>
              </c:extLst>
            </c:dLbl>
            <c:dLbl>
              <c:idx val="1"/>
              <c:layout>
                <c:manualLayout>
                  <c:x val="1.6489298290625076E-2"/>
                  <c:y val="-4.198044876569839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6B4-499C-B1F9-5AEFF8FB11AE}"/>
                </c:ext>
              </c:extLst>
            </c:dLbl>
            <c:dLbl>
              <c:idx val="2"/>
              <c:layout>
                <c:manualLayout>
                  <c:x val="-5.4085639590856658E-3"/>
                  <c:y val="-4.198044876569839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6B4-499C-B1F9-5AEFF8FB11AE}"/>
                </c:ext>
              </c:extLst>
            </c:dLbl>
            <c:dLbl>
              <c:idx val="3"/>
              <c:layout>
                <c:manualLayout>
                  <c:x val="-2.9754681535622439E-3"/>
                  <c:y val="-3.8012179419416502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6B4-499C-B1F9-5AEFF8FB11AE}"/>
                </c:ext>
              </c:extLst>
            </c:dLbl>
            <c:dLbl>
              <c:idx val="4"/>
              <c:layout>
                <c:manualLayout>
                  <c:x val="3.3520968929288977E-2"/>
                  <c:y val="-3.4043910073134613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6B4-499C-B1F9-5AEFF8FB11AE}"/>
                </c:ext>
              </c:extLst>
            </c:dLbl>
            <c:dLbl>
              <c:idx val="6"/>
              <c:layout>
                <c:manualLayout>
                  <c:x val="4.3238192630080221E-3"/>
                  <c:y val="-3.8012179419416502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6B4-499C-B1F9-5AEFF8FB11AE}"/>
                </c:ext>
              </c:extLst>
            </c:dLbl>
            <c:dLbl>
              <c:idx val="9"/>
              <c:layout>
                <c:manualLayout>
                  <c:x val="-5.4085639590856658E-3"/>
                  <c:y val="-3.8012179419416502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6B4-499C-B1F9-5AEFF8FB11AE}"/>
                </c:ext>
              </c:extLst>
            </c:dLbl>
            <c:dLbl>
              <c:idx val="16"/>
              <c:layout>
                <c:manualLayout>
                  <c:xMode val="edge"/>
                  <c:yMode val="edge"/>
                  <c:x val="0.10948931124855357"/>
                  <c:y val="0.30555673966370467"/>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6B4-499C-B1F9-5AEFF8FB11AE}"/>
                </c:ext>
              </c:extLst>
            </c:dLbl>
            <c:dLbl>
              <c:idx val="19"/>
              <c:layout>
                <c:manualLayout>
                  <c:xMode val="edge"/>
                  <c:yMode val="edge"/>
                  <c:x val="0.54501346043724441"/>
                  <c:y val="0.14682596581242952"/>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6B4-499C-B1F9-5AEFF8FB11AE}"/>
                </c:ext>
              </c:extLst>
            </c:dLbl>
            <c:numFmt formatCode="0.0;[Red]0.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1"/>
            <c:showVal val="1"/>
            <c:showCatName val="0"/>
            <c:showSerName val="0"/>
            <c:showPercent val="0"/>
            <c:showBubbleSize val="0"/>
            <c:showLeaderLines val="0"/>
            <c:extLst>
              <c:ext xmlns:c15="http://schemas.microsoft.com/office/drawing/2012/chart" uri="{CE6537A1-D6FC-4f65-9D91-7224C49458BB}"/>
            </c:extLst>
          </c:dLbls>
          <c:cat>
            <c:strRef>
              <c:f>'Defect Data'!$B$41:$K$41</c:f>
              <c:strCache>
                <c:ptCount val="10"/>
                <c:pt idx="0">
                  <c:v>MS</c:v>
                </c:pt>
                <c:pt idx="1">
                  <c:v>IF</c:v>
                </c:pt>
                <c:pt idx="2">
                  <c:v>LO</c:v>
                </c:pt>
                <c:pt idx="3">
                  <c:v>OP</c:v>
                </c:pt>
                <c:pt idx="4">
                  <c:v>DA</c:v>
                </c:pt>
                <c:pt idx="5">
                  <c:v>ST</c:v>
                </c:pt>
                <c:pt idx="6">
                  <c:v>US</c:v>
                </c:pt>
                <c:pt idx="7">
                  <c:v>NR</c:v>
                </c:pt>
                <c:pt idx="8">
                  <c:v>CL</c:v>
                </c:pt>
                <c:pt idx="9">
                  <c:v>CP</c:v>
                </c:pt>
              </c:strCache>
            </c:strRef>
          </c:cat>
          <c:val>
            <c:numRef>
              <c:f>'Defect Data'!$B$47:$K$47</c:f>
              <c:numCache>
                <c:formatCode>0.00</c:formatCode>
                <c:ptCount val="10"/>
                <c:pt idx="0">
                  <c:v>13.333333333333334</c:v>
                </c:pt>
                <c:pt idx="1">
                  <c:v>0</c:v>
                </c:pt>
                <c:pt idx="2">
                  <c:v>0</c:v>
                </c:pt>
                <c:pt idx="3">
                  <c:v>0</c:v>
                </c:pt>
                <c:pt idx="4">
                  <c:v>0</c:v>
                </c:pt>
                <c:pt idx="5">
                  <c:v>33.333333333333329</c:v>
                </c:pt>
                <c:pt idx="6">
                  <c:v>0</c:v>
                </c:pt>
                <c:pt idx="7">
                  <c:v>0</c:v>
                </c:pt>
                <c:pt idx="8">
                  <c:v>46.666666666666664</c:v>
                </c:pt>
                <c:pt idx="9">
                  <c:v>6.666666666666667</c:v>
                </c:pt>
              </c:numCache>
            </c:numRef>
          </c:val>
          <c:extLst>
            <c:ext xmlns:c16="http://schemas.microsoft.com/office/drawing/2014/chart" uri="{C3380CC4-5D6E-409C-BE32-E72D297353CC}">
              <c16:uniqueId val="{0000000C-B6B4-499C-B1F9-5AEFF8FB11AE}"/>
            </c:ext>
          </c:extLst>
        </c:ser>
        <c:dLbls>
          <c:showLegendKey val="1"/>
          <c:showVal val="1"/>
          <c:showCatName val="0"/>
          <c:showSerName val="0"/>
          <c:showPercent val="0"/>
          <c:showBubbleSize val="0"/>
          <c:showLeaderLines val="0"/>
        </c:dLbls>
      </c:pie3DChart>
      <c:spPr>
        <a:noFill/>
        <a:ln w="25400">
          <a:noFill/>
        </a:ln>
      </c:spPr>
    </c:plotArea>
    <c:legend>
      <c:legendPos val="r"/>
      <c:layout>
        <c:manualLayout>
          <c:xMode val="edge"/>
          <c:yMode val="edge"/>
          <c:x val="0.89772893312199098"/>
          <c:y val="0.15337475000776984"/>
          <c:w val="9.0909259050328206E-2"/>
          <c:h val="0.76994124503900474"/>
        </c:manualLayout>
      </c:layout>
      <c:overlay val="0"/>
      <c:spPr>
        <a:solidFill>
          <a:srgbClr val="FFFFFF"/>
        </a:solidFill>
        <a:ln w="3175">
          <a:solidFill>
            <a:srgbClr val="C0C0C0"/>
          </a:solidFill>
          <a:prstDash val="solid"/>
        </a:ln>
      </c:spPr>
      <c:txPr>
        <a:bodyPr/>
        <a:lstStyle/>
        <a:p>
          <a:pPr>
            <a:defRPr sz="8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2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Severity-wise defect distribution %</a:t>
            </a:r>
          </a:p>
        </c:rich>
      </c:tx>
      <c:layout>
        <c:manualLayout>
          <c:xMode val="edge"/>
          <c:yMode val="edge"/>
          <c:x val="0.18471337579617833"/>
          <c:y val="2.0491803278688523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2.8662420382165606E-2"/>
          <c:y val="0.1680331231451779"/>
          <c:w val="0.78980891719745228"/>
          <c:h val="0.4016401480055472"/>
        </c:manualLayout>
      </c:layout>
      <c:pie3DChart>
        <c:varyColors val="1"/>
        <c:ser>
          <c:idx val="0"/>
          <c:order val="0"/>
          <c:spPr>
            <a:ln w="12700">
              <a:solidFill>
                <a:srgbClr val="C0C0C0"/>
              </a:solidFill>
              <a:prstDash val="solid"/>
            </a:ln>
          </c:spPr>
          <c:explosion val="25"/>
          <c:dPt>
            <c:idx val="0"/>
            <c:bubble3D val="0"/>
            <c:spPr>
              <a:solidFill>
                <a:srgbClr val="9999FF"/>
              </a:solidFill>
              <a:ln w="12700">
                <a:solidFill>
                  <a:srgbClr val="C0C0C0"/>
                </a:solidFill>
                <a:prstDash val="solid"/>
              </a:ln>
            </c:spPr>
            <c:extLst>
              <c:ext xmlns:c16="http://schemas.microsoft.com/office/drawing/2014/chart" uri="{C3380CC4-5D6E-409C-BE32-E72D297353CC}">
                <c16:uniqueId val="{00000000-4A9D-4604-84C1-B16A6357DF0A}"/>
              </c:ext>
            </c:extLst>
          </c:dPt>
          <c:dPt>
            <c:idx val="1"/>
            <c:bubble3D val="0"/>
            <c:spPr>
              <a:solidFill>
                <a:srgbClr val="993366"/>
              </a:solidFill>
              <a:ln w="12700">
                <a:solidFill>
                  <a:srgbClr val="C0C0C0"/>
                </a:solidFill>
                <a:prstDash val="solid"/>
              </a:ln>
            </c:spPr>
            <c:extLst>
              <c:ext xmlns:c16="http://schemas.microsoft.com/office/drawing/2014/chart" uri="{C3380CC4-5D6E-409C-BE32-E72D297353CC}">
                <c16:uniqueId val="{00000001-4A9D-4604-84C1-B16A6357DF0A}"/>
              </c:ext>
            </c:extLst>
          </c:dPt>
          <c:dPt>
            <c:idx val="2"/>
            <c:bubble3D val="0"/>
            <c:spPr>
              <a:solidFill>
                <a:srgbClr val="FFFFCC"/>
              </a:solidFill>
              <a:ln w="12700">
                <a:solidFill>
                  <a:srgbClr val="C0C0C0"/>
                </a:solidFill>
                <a:prstDash val="solid"/>
              </a:ln>
            </c:spPr>
            <c:extLst>
              <c:ext xmlns:c16="http://schemas.microsoft.com/office/drawing/2014/chart" uri="{C3380CC4-5D6E-409C-BE32-E72D297353CC}">
                <c16:uniqueId val="{00000002-4A9D-4604-84C1-B16A6357DF0A}"/>
              </c:ext>
            </c:extLst>
          </c:dPt>
          <c:dPt>
            <c:idx val="3"/>
            <c:bubble3D val="0"/>
            <c:spPr>
              <a:solidFill>
                <a:srgbClr val="CCFFFF"/>
              </a:solidFill>
              <a:ln w="12700">
                <a:solidFill>
                  <a:srgbClr val="C0C0C0"/>
                </a:solidFill>
                <a:prstDash val="solid"/>
              </a:ln>
            </c:spPr>
            <c:extLst>
              <c:ext xmlns:c16="http://schemas.microsoft.com/office/drawing/2014/chart" uri="{C3380CC4-5D6E-409C-BE32-E72D297353CC}">
                <c16:uniqueId val="{00000003-4A9D-4604-84C1-B16A6357DF0A}"/>
              </c:ext>
            </c:extLst>
          </c:dPt>
          <c:dLbls>
            <c:dLbl>
              <c:idx val="0"/>
              <c:layout>
                <c:manualLayout>
                  <c:x val="8.8443084741795727E-3"/>
                  <c:y val="-3.6842906810652457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9D-4604-84C1-B16A6357DF0A}"/>
                </c:ext>
              </c:extLst>
            </c:dLbl>
            <c:dLbl>
              <c:idx val="1"/>
              <c:layout>
                <c:manualLayout>
                  <c:x val="1.8398448601568161E-2"/>
                  <c:y val="-4.0941275667851912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A9D-4604-84C1-B16A6357DF0A}"/>
                </c:ext>
              </c:extLst>
            </c:dLbl>
            <c:dLbl>
              <c:idx val="2"/>
              <c:layout>
                <c:manualLayout>
                  <c:x val="-7.0792584048013155E-3"/>
                  <c:y val="-4.0941275667851912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A9D-4604-84C1-B16A6357DF0A}"/>
                </c:ext>
              </c:extLst>
            </c:dLbl>
            <c:dLbl>
              <c:idx val="3"/>
              <c:layout>
                <c:manualLayout>
                  <c:x val="-7.0983165320896008E-4"/>
                  <c:y val="-3.2744537953453001E-2"/>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9D-4604-84C1-B16A6357DF0A}"/>
                </c:ext>
              </c:extLst>
            </c:dLbl>
            <c:dLbl>
              <c:idx val="4"/>
              <c:layout>
                <c:manualLayout>
                  <c:xMode val="edge"/>
                  <c:yMode val="edge"/>
                  <c:x val="0.50318471337579618"/>
                  <c:y val="0.58606674657952296"/>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9D-4604-84C1-B16A6357DF0A}"/>
                </c:ext>
              </c:extLst>
            </c:dLbl>
            <c:dLbl>
              <c:idx val="6"/>
              <c:layout>
                <c:manualLayout>
                  <c:xMode val="edge"/>
                  <c:yMode val="edge"/>
                  <c:x val="0.52229299363057324"/>
                  <c:y val="0.64754227943751486"/>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A9D-4604-84C1-B16A6357DF0A}"/>
                </c:ext>
              </c:extLst>
            </c:dLbl>
            <c:dLbl>
              <c:idx val="9"/>
              <c:layout>
                <c:manualLayout>
                  <c:xMode val="edge"/>
                  <c:yMode val="edge"/>
                  <c:x val="0.25477707006369427"/>
                  <c:y val="0.13934454114478168"/>
                </c:manualLayout>
              </c:layout>
              <c:numFmt formatCode="0.0;[Red]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A9D-4604-84C1-B16A6357DF0A}"/>
                </c:ext>
              </c:extLst>
            </c:dLbl>
            <c:dLbl>
              <c:idx val="16"/>
              <c:layout>
                <c:manualLayout>
                  <c:xMode val="edge"/>
                  <c:yMode val="edge"/>
                  <c:x val="0.14331210191082802"/>
                  <c:y val="0.31557440200435855"/>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A9D-4604-84C1-B16A6357DF0A}"/>
                </c:ext>
              </c:extLst>
            </c:dLbl>
            <c:dLbl>
              <c:idx val="19"/>
              <c:layout>
                <c:manualLayout>
                  <c:xMode val="edge"/>
                  <c:yMode val="edge"/>
                  <c:x val="0.7133757961783439"/>
                  <c:y val="0.15163964771638005"/>
                </c:manualLayout>
              </c:layout>
              <c:numFmt formatCode="0.0;[Red]0.0" sourceLinked="0"/>
              <c:spPr>
                <a:noFill/>
                <a:ln w="25400">
                  <a:noFill/>
                </a:ln>
              </c:spPr>
              <c:txPr>
                <a:bodyPr/>
                <a:lstStyle/>
                <a:p>
                  <a:pPr>
                    <a:defRPr sz="2850" b="0" i="0" u="none" strike="noStrike" baseline="0">
                      <a:solidFill>
                        <a:srgbClr val="000000"/>
                      </a:solidFill>
                      <a:latin typeface="Arial"/>
                      <a:ea typeface="Arial"/>
                      <a:cs typeface="Arial"/>
                    </a:defRPr>
                  </a:pPr>
                  <a:endParaRPr lang="en-US"/>
                </a:p>
              </c:txPr>
              <c:dLblPos val="bestFit"/>
              <c:showLegendKey val="1"/>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A9D-4604-84C1-B16A6357DF0A}"/>
                </c:ext>
              </c:extLst>
            </c:dLbl>
            <c:numFmt formatCode="0.0;[Red]0.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1"/>
            <c:showVal val="1"/>
            <c:showCatName val="0"/>
            <c:showSerName val="0"/>
            <c:showPercent val="0"/>
            <c:showBubbleSize val="0"/>
            <c:showLeaderLines val="1"/>
            <c:extLst>
              <c:ext xmlns:c15="http://schemas.microsoft.com/office/drawing/2012/chart" uri="{CE6537A1-D6FC-4f65-9D91-7224C49458BB}"/>
            </c:extLst>
          </c:dLbls>
          <c:val>
            <c:numRef>
              <c:f>'Defect Data'!$N$42:$N$45</c:f>
              <c:numCache>
                <c:formatCode>0.00;[Red]0.00</c:formatCode>
                <c:ptCount val="4"/>
                <c:pt idx="0">
                  <c:v>6.666666666666667</c:v>
                </c:pt>
                <c:pt idx="1">
                  <c:v>46.666666666666664</c:v>
                </c:pt>
                <c:pt idx="2">
                  <c:v>33.333333333333336</c:v>
                </c:pt>
                <c:pt idx="3">
                  <c:v>13.333333333333334</c:v>
                </c:pt>
              </c:numCache>
            </c:numRef>
          </c:val>
          <c:extLst>
            <c:ext xmlns:c16="http://schemas.microsoft.com/office/drawing/2014/chart" uri="{C3380CC4-5D6E-409C-BE32-E72D297353CC}">
              <c16:uniqueId val="{00000009-4A9D-4604-84C1-B16A6357DF0A}"/>
            </c:ext>
          </c:extLst>
        </c:ser>
        <c:dLbls>
          <c:showLegendKey val="1"/>
          <c:showVal val="1"/>
          <c:showCatName val="0"/>
          <c:showSerName val="0"/>
          <c:showPercent val="0"/>
          <c:showBubbleSize val="0"/>
          <c:showLeaderLines val="1"/>
        </c:dLbls>
      </c:pie3DChart>
      <c:spPr>
        <a:noFill/>
        <a:ln w="25400">
          <a:noFill/>
        </a:ln>
      </c:spPr>
    </c:plotArea>
    <c:legend>
      <c:legendPos val="r"/>
      <c:layout>
        <c:manualLayout>
          <c:xMode val="edge"/>
          <c:yMode val="edge"/>
          <c:x val="0.90322936314485869"/>
          <c:y val="0.18412712683464069"/>
          <c:w val="8.1886178526869052E-2"/>
          <c:h val="0.79047680313492308"/>
        </c:manualLayout>
      </c:layout>
      <c:overlay val="0"/>
      <c:spPr>
        <a:solidFill>
          <a:srgbClr val="FFFFFF"/>
        </a:solidFill>
        <a:ln w="3175">
          <a:solidFill>
            <a:srgbClr val="C0C0C0"/>
          </a:solidFill>
          <a:prstDash val="solid"/>
        </a:ln>
      </c:spPr>
      <c:txPr>
        <a:bodyPr/>
        <a:lstStyle/>
        <a:p>
          <a:pPr rtl="0">
            <a:defRPr sz="8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2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sng" strike="noStrike" baseline="0">
                <a:solidFill>
                  <a:srgbClr val="000000"/>
                </a:solidFill>
                <a:latin typeface="Arial"/>
                <a:ea typeface="Arial"/>
                <a:cs typeface="Arial"/>
              </a:defRPr>
            </a:pPr>
            <a:r>
              <a:rPr lang="en-IN"/>
              <a:t>Defect distribution based on injection %</a:t>
            </a:r>
          </a:p>
        </c:rich>
      </c:tx>
      <c:layout>
        <c:manualLayout>
          <c:xMode val="edge"/>
          <c:yMode val="edge"/>
          <c:x val="0.37886255924170614"/>
          <c:y val="2.1201413427561839E-2"/>
        </c:manualLayout>
      </c:layout>
      <c:overlay val="0"/>
      <c:spPr>
        <a:noFill/>
        <a:ln w="25400">
          <a:noFill/>
        </a:ln>
      </c:spPr>
    </c:title>
    <c:autoTitleDeleted val="0"/>
    <c:view3D>
      <c:rotX val="15"/>
      <c:rotY val="0"/>
      <c:rAngAx val="0"/>
      <c:perspective val="0"/>
    </c:view3D>
    <c:floor>
      <c:thickness val="0"/>
    </c:floor>
    <c:sideWall>
      <c:thickness val="0"/>
    </c:sideWall>
    <c:backWall>
      <c:thickness val="0"/>
    </c:backWall>
    <c:plotArea>
      <c:layout>
        <c:manualLayout>
          <c:layoutTarget val="inner"/>
          <c:xMode val="edge"/>
          <c:yMode val="edge"/>
          <c:x val="1.8957345971563982E-2"/>
          <c:y val="0.22261522508424161"/>
          <c:w val="0.95971563981042651"/>
          <c:h val="0.56890557521528407"/>
        </c:manualLayout>
      </c:layout>
      <c:pie3DChart>
        <c:varyColors val="1"/>
        <c:ser>
          <c:idx val="0"/>
          <c:order val="0"/>
          <c:spPr>
            <a:ln w="12700">
              <a:solidFill>
                <a:srgbClr val="969696"/>
              </a:solidFill>
              <a:prstDash val="solid"/>
            </a:ln>
          </c:spPr>
          <c:explosion val="25"/>
          <c:dPt>
            <c:idx val="0"/>
            <c:bubble3D val="0"/>
            <c:spPr>
              <a:solidFill>
                <a:srgbClr val="9999FF"/>
              </a:solidFill>
              <a:ln w="12700">
                <a:solidFill>
                  <a:srgbClr val="969696"/>
                </a:solidFill>
                <a:prstDash val="solid"/>
              </a:ln>
            </c:spPr>
            <c:extLst>
              <c:ext xmlns:c16="http://schemas.microsoft.com/office/drawing/2014/chart" uri="{C3380CC4-5D6E-409C-BE32-E72D297353CC}">
                <c16:uniqueId val="{00000000-24A2-4DC3-B7FC-51C1720AA9FD}"/>
              </c:ext>
            </c:extLst>
          </c:dPt>
          <c:dPt>
            <c:idx val="1"/>
            <c:bubble3D val="0"/>
            <c:spPr>
              <a:solidFill>
                <a:srgbClr val="993366"/>
              </a:solidFill>
              <a:ln w="12700">
                <a:solidFill>
                  <a:srgbClr val="969696"/>
                </a:solidFill>
                <a:prstDash val="solid"/>
              </a:ln>
            </c:spPr>
            <c:extLst>
              <c:ext xmlns:c16="http://schemas.microsoft.com/office/drawing/2014/chart" uri="{C3380CC4-5D6E-409C-BE32-E72D297353CC}">
                <c16:uniqueId val="{00000001-24A2-4DC3-B7FC-51C1720AA9FD}"/>
              </c:ext>
            </c:extLst>
          </c:dPt>
          <c:dPt>
            <c:idx val="2"/>
            <c:bubble3D val="0"/>
            <c:spPr>
              <a:solidFill>
                <a:srgbClr val="FFFFCC"/>
              </a:solidFill>
              <a:ln w="12700">
                <a:solidFill>
                  <a:srgbClr val="969696"/>
                </a:solidFill>
                <a:prstDash val="solid"/>
              </a:ln>
            </c:spPr>
            <c:extLst>
              <c:ext xmlns:c16="http://schemas.microsoft.com/office/drawing/2014/chart" uri="{C3380CC4-5D6E-409C-BE32-E72D297353CC}">
                <c16:uniqueId val="{00000002-24A2-4DC3-B7FC-51C1720AA9FD}"/>
              </c:ext>
            </c:extLst>
          </c:dPt>
          <c:dPt>
            <c:idx val="3"/>
            <c:bubble3D val="0"/>
            <c:spPr>
              <a:solidFill>
                <a:srgbClr val="CCFFFF"/>
              </a:solidFill>
              <a:ln w="12700">
                <a:solidFill>
                  <a:srgbClr val="969696"/>
                </a:solidFill>
                <a:prstDash val="solid"/>
              </a:ln>
            </c:spPr>
            <c:extLst>
              <c:ext xmlns:c16="http://schemas.microsoft.com/office/drawing/2014/chart" uri="{C3380CC4-5D6E-409C-BE32-E72D297353CC}">
                <c16:uniqueId val="{00000003-24A2-4DC3-B7FC-51C1720AA9FD}"/>
              </c:ext>
            </c:extLst>
          </c:dPt>
          <c:dPt>
            <c:idx val="4"/>
            <c:bubble3D val="0"/>
            <c:spPr>
              <a:solidFill>
                <a:srgbClr val="660066"/>
              </a:solidFill>
              <a:ln w="12700">
                <a:solidFill>
                  <a:srgbClr val="969696"/>
                </a:solidFill>
                <a:prstDash val="solid"/>
              </a:ln>
            </c:spPr>
            <c:extLst>
              <c:ext xmlns:c16="http://schemas.microsoft.com/office/drawing/2014/chart" uri="{C3380CC4-5D6E-409C-BE32-E72D297353CC}">
                <c16:uniqueId val="{00000004-24A2-4DC3-B7FC-51C1720AA9FD}"/>
              </c:ext>
            </c:extLst>
          </c:dPt>
          <c:dPt>
            <c:idx val="5"/>
            <c:bubble3D val="0"/>
            <c:spPr>
              <a:solidFill>
                <a:srgbClr val="FF8080"/>
              </a:solidFill>
              <a:ln w="12700">
                <a:solidFill>
                  <a:srgbClr val="969696"/>
                </a:solidFill>
                <a:prstDash val="solid"/>
              </a:ln>
            </c:spPr>
            <c:extLst>
              <c:ext xmlns:c16="http://schemas.microsoft.com/office/drawing/2014/chart" uri="{C3380CC4-5D6E-409C-BE32-E72D297353CC}">
                <c16:uniqueId val="{00000005-24A2-4DC3-B7FC-51C1720AA9FD}"/>
              </c:ext>
            </c:extLst>
          </c:dPt>
          <c:dLbls>
            <c:dLbl>
              <c:idx val="0"/>
              <c:layout>
                <c:manualLayout>
                  <c:x val="4.7880981701931957E-3"/>
                  <c:y val="-4.1668021440288174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4A2-4DC3-B7FC-51C1720AA9FD}"/>
                </c:ext>
              </c:extLst>
            </c:dLbl>
            <c:dLbl>
              <c:idx val="1"/>
              <c:layout>
                <c:manualLayout>
                  <c:x val="-4.6905748155888372E-3"/>
                  <c:y val="-4.8735171442962501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4A2-4DC3-B7FC-51C1720AA9FD}"/>
                </c:ext>
              </c:extLst>
            </c:dLbl>
            <c:dLbl>
              <c:idx val="2"/>
              <c:layout>
                <c:manualLayout>
                  <c:x val="-1.1799579554925292E-2"/>
                  <c:y val="-4.5201596441625337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4A2-4DC3-B7FC-51C1720AA9FD}"/>
                </c:ext>
              </c:extLst>
            </c:dLbl>
            <c:dLbl>
              <c:idx val="3"/>
              <c:layout>
                <c:manualLayout>
                  <c:x val="2.4184299237477291E-3"/>
                  <c:y val="-5.5802321445636828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4A2-4DC3-B7FC-51C1720AA9FD}"/>
                </c:ext>
              </c:extLst>
            </c:dLbl>
            <c:dLbl>
              <c:idx val="4"/>
              <c:layout>
                <c:manualLayout>
                  <c:x val="2.1375775895311686E-2"/>
                  <c:y val="-3.8134446438950982E-2"/>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4A2-4DC3-B7FC-51C1720AA9FD}"/>
                </c:ext>
              </c:extLst>
            </c:dLbl>
            <c:dLbl>
              <c:idx val="8"/>
              <c:layout>
                <c:manualLayout>
                  <c:xMode val="edge"/>
                  <c:yMode val="edge"/>
                  <c:x val="0.36492890995260663"/>
                  <c:y val="0.24028310009092743"/>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4A2-4DC3-B7FC-51C1720AA9FD}"/>
                </c:ext>
              </c:extLst>
            </c:dLbl>
            <c:dLbl>
              <c:idx val="9"/>
              <c:layout>
                <c:manualLayout>
                  <c:xMode val="edge"/>
                  <c:yMode val="edge"/>
                  <c:x val="0.15402843601895735"/>
                  <c:y val="0.13780942505214958"/>
                </c:manualLayout>
              </c:layout>
              <c:numFmt formatCode="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4A2-4DC3-B7FC-51C1720AA9FD}"/>
                </c:ext>
              </c:extLst>
            </c:dLbl>
            <c:dLbl>
              <c:idx val="16"/>
              <c:layout>
                <c:manualLayout>
                  <c:xMode val="edge"/>
                  <c:yMode val="edge"/>
                  <c:x val="0.1066350710900474"/>
                  <c:y val="0.27208527510296193"/>
                </c:manualLayout>
              </c:layout>
              <c:numFmt formatCode="0.0%" sourceLinked="0"/>
              <c:spPr>
                <a:noFill/>
                <a:ln w="25400">
                  <a:noFill/>
                </a:ln>
              </c:spPr>
              <c:txPr>
                <a:bodyPr/>
                <a:lstStyle/>
                <a:p>
                  <a:pPr>
                    <a:defRPr sz="2825"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4A2-4DC3-B7FC-51C1720AA9FD}"/>
                </c:ext>
              </c:extLst>
            </c:dLbl>
            <c:dLbl>
              <c:idx val="19"/>
              <c:layout>
                <c:manualLayout>
                  <c:xMode val="edge"/>
                  <c:yMode val="edge"/>
                  <c:x val="0.53080568720379151"/>
                  <c:y val="0.13074227504947522"/>
                </c:manualLayout>
              </c:layout>
              <c:numFmt formatCode="0.0%" sourceLinked="0"/>
              <c:spPr>
                <a:noFill/>
                <a:ln w="25400">
                  <a:noFill/>
                </a:ln>
              </c:spPr>
              <c:txPr>
                <a:bodyPr/>
                <a:lstStyle/>
                <a:p>
                  <a:pPr>
                    <a:defRPr sz="2825" b="0" i="0" u="none" strike="noStrike" baseline="0">
                      <a:solidFill>
                        <a:srgbClr val="000000"/>
                      </a:solidFill>
                      <a:latin typeface="Arial"/>
                      <a:ea typeface="Arial"/>
                      <a:cs typeface="Arial"/>
                    </a:defRPr>
                  </a:pPr>
                  <a:endParaRPr lang="en-US"/>
                </a:p>
              </c:txPr>
              <c:dLblPos val="bestFit"/>
              <c:showLegendKey val="1"/>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4A2-4DC3-B7FC-51C1720AA9FD}"/>
                </c:ext>
              </c:extLst>
            </c:dLbl>
            <c:numFmt formatCode="0.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1"/>
            <c:showVal val="0"/>
            <c:showCatName val="0"/>
            <c:showSerName val="0"/>
            <c:showPercent val="1"/>
            <c:showBubbleSize val="0"/>
            <c:showLeaderLines val="0"/>
            <c:extLst>
              <c:ext xmlns:c15="http://schemas.microsoft.com/office/drawing/2012/chart" uri="{CE6537A1-D6FC-4f65-9D91-7224C49458BB}"/>
            </c:extLst>
          </c:dLbls>
          <c:cat>
            <c:strRef>
              <c:f>Summary!$B$36:$G$36</c:f>
              <c:strCache>
                <c:ptCount val="6"/>
                <c:pt idx="0">
                  <c:v>Req. Analysis</c:v>
                </c:pt>
                <c:pt idx="1">
                  <c:v>HLD</c:v>
                </c:pt>
                <c:pt idx="2">
                  <c:v>DLD</c:v>
                </c:pt>
                <c:pt idx="3">
                  <c:v>PS</c:v>
                </c:pt>
                <c:pt idx="4">
                  <c:v>TC Prep.</c:v>
                </c:pt>
                <c:pt idx="5">
                  <c:v>Coding</c:v>
                </c:pt>
              </c:strCache>
            </c:strRef>
          </c:cat>
          <c:val>
            <c:numRef>
              <c:f>Summary!$B$39:$G$39</c:f>
              <c:numCache>
                <c:formatCode>0.00;[Red]0.00</c:formatCode>
                <c:ptCount val="6"/>
                <c:pt idx="0">
                  <c:v>20</c:v>
                </c:pt>
                <c:pt idx="1">
                  <c:v>10</c:v>
                </c:pt>
                <c:pt idx="2">
                  <c:v>25</c:v>
                </c:pt>
                <c:pt idx="3">
                  <c:v>20</c:v>
                </c:pt>
                <c:pt idx="4">
                  <c:v>25</c:v>
                </c:pt>
                <c:pt idx="5">
                  <c:v>0</c:v>
                </c:pt>
              </c:numCache>
            </c:numRef>
          </c:val>
          <c:extLst>
            <c:ext xmlns:c16="http://schemas.microsoft.com/office/drawing/2014/chart" uri="{C3380CC4-5D6E-409C-BE32-E72D297353CC}">
              <c16:uniqueId val="{0000000A-24A2-4DC3-B7FC-51C1720AA9FD}"/>
            </c:ext>
          </c:extLst>
        </c:ser>
        <c:dLbls>
          <c:showLegendKey val="1"/>
          <c:showVal val="0"/>
          <c:showCatName val="0"/>
          <c:showSerName val="0"/>
          <c:showPercent val="1"/>
          <c:showBubbleSize val="0"/>
          <c:showLeaderLines val="0"/>
        </c:dLbls>
      </c:pie3DChart>
      <c:spPr>
        <a:noFill/>
        <a:ln w="25400">
          <a:noFill/>
        </a:ln>
      </c:spPr>
    </c:plotArea>
    <c:legend>
      <c:legendPos val="r"/>
      <c:layout>
        <c:manualLayout>
          <c:xMode val="edge"/>
          <c:yMode val="edge"/>
          <c:x val="2.3985272264461413E-2"/>
          <c:y val="0.87432102240701093"/>
          <c:w val="0.95387582774819624"/>
          <c:h val="0.11202238099589829"/>
        </c:manualLayout>
      </c:layout>
      <c:overlay val="0"/>
      <c:spPr>
        <a:solidFill>
          <a:srgbClr val="FFFFFF"/>
        </a:solidFill>
        <a:ln w="3175">
          <a:solidFill>
            <a:srgbClr val="C0C0C0"/>
          </a:solidFill>
          <a:prstDash val="solid"/>
        </a:ln>
      </c:spPr>
      <c:txPr>
        <a:bodyPr/>
        <a:lstStyle/>
        <a:p>
          <a:pPr>
            <a:defRPr sz="8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25400">
      <a:solidFill>
        <a:srgbClr val="000000"/>
      </a:solidFill>
      <a:prstDash val="solid"/>
    </a:ln>
  </c:spPr>
  <c:txPr>
    <a:bodyPr/>
    <a:lstStyle/>
    <a:p>
      <a:pPr>
        <a:defRPr sz="2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0" verticalDpi="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120650</xdr:rowOff>
        </xdr:from>
        <xdr:to>
          <xdr:col>6</xdr:col>
          <xdr:colOff>419100</xdr:colOff>
          <xdr:row>3</xdr:row>
          <xdr:rowOff>76200</xdr:rowOff>
        </xdr:to>
        <xdr:sp macro="" textlink="">
          <xdr:nvSpPr>
            <xdr:cNvPr id="4190" name="Button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000" b="1" i="0" u="none" strike="noStrike" baseline="0">
                  <a:solidFill>
                    <a:srgbClr val="000000"/>
                  </a:solidFill>
                  <a:latin typeface="Arial"/>
                  <a:cs typeface="Arial"/>
                </a:rPr>
                <a:t>Add Data Point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46</xdr:row>
          <xdr:rowOff>107950</xdr:rowOff>
        </xdr:from>
        <xdr:to>
          <xdr:col>13</xdr:col>
          <xdr:colOff>234950</xdr:colOff>
          <xdr:row>47</xdr:row>
          <xdr:rowOff>279400</xdr:rowOff>
        </xdr:to>
        <xdr:sp macro="" textlink="">
          <xdr:nvSpPr>
            <xdr:cNvPr id="26686" name="Button 62" hidden="1">
              <a:extLst>
                <a:ext uri="{63B3BB69-23CF-44E3-9099-C40C66FF867C}">
                  <a14:compatExt spid="_x0000_s26686"/>
                </a:ext>
                <a:ext uri="{FF2B5EF4-FFF2-40B4-BE49-F238E27FC236}">
                  <a16:creationId xmlns:a16="http://schemas.microsoft.com/office/drawing/2014/main" id="{00000000-0008-0000-0200-00003E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Refresh Pareto Chart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20</xdr:row>
          <xdr:rowOff>336550</xdr:rowOff>
        </xdr:from>
        <xdr:to>
          <xdr:col>11</xdr:col>
          <xdr:colOff>114300</xdr:colOff>
          <xdr:row>21</xdr:row>
          <xdr:rowOff>304800</xdr:rowOff>
        </xdr:to>
        <xdr:sp macro="" textlink="">
          <xdr:nvSpPr>
            <xdr:cNvPr id="26873" name="Button 249" hidden="1">
              <a:extLst>
                <a:ext uri="{63B3BB69-23CF-44E3-9099-C40C66FF867C}">
                  <a14:compatExt spid="_x0000_s26873"/>
                </a:ext>
                <a:ext uri="{FF2B5EF4-FFF2-40B4-BE49-F238E27FC236}">
                  <a16:creationId xmlns:a16="http://schemas.microsoft.com/office/drawing/2014/main" id="{00000000-0008-0000-0200-0000F9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Refresh Pareto Chart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13</xdr:row>
      <xdr:rowOff>38100</xdr:rowOff>
    </xdr:from>
    <xdr:to>
      <xdr:col>8</xdr:col>
      <xdr:colOff>243840</xdr:colOff>
      <xdr:row>29</xdr:row>
      <xdr:rowOff>22860</xdr:rowOff>
    </xdr:to>
    <xdr:graphicFrame macro="">
      <xdr:nvGraphicFramePr>
        <xdr:cNvPr id="15402" name="Chart 3">
          <a:extLst>
            <a:ext uri="{FF2B5EF4-FFF2-40B4-BE49-F238E27FC236}">
              <a16:creationId xmlns:a16="http://schemas.microsoft.com/office/drawing/2014/main" id="{00000000-0008-0000-0500-00002A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29</xdr:row>
      <xdr:rowOff>99060</xdr:rowOff>
    </xdr:from>
    <xdr:to>
      <xdr:col>8</xdr:col>
      <xdr:colOff>228600</xdr:colOff>
      <xdr:row>44</xdr:row>
      <xdr:rowOff>76200</xdr:rowOff>
    </xdr:to>
    <xdr:graphicFrame macro="">
      <xdr:nvGraphicFramePr>
        <xdr:cNvPr id="15403" name="Chart 11">
          <a:extLst>
            <a:ext uri="{FF2B5EF4-FFF2-40B4-BE49-F238E27FC236}">
              <a16:creationId xmlns:a16="http://schemas.microsoft.com/office/drawing/2014/main" id="{00000000-0008-0000-0500-00002B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76200</xdr:colOff>
      <xdr:row>46</xdr:row>
      <xdr:rowOff>68580</xdr:rowOff>
    </xdr:from>
    <xdr:to>
      <xdr:col>16</xdr:col>
      <xdr:colOff>518160</xdr:colOff>
      <xdr:row>59</xdr:row>
      <xdr:rowOff>91440</xdr:rowOff>
    </xdr:to>
    <xdr:graphicFrame macro="">
      <xdr:nvGraphicFramePr>
        <xdr:cNvPr id="15404" name="Chart 13">
          <a:extLst>
            <a:ext uri="{FF2B5EF4-FFF2-40B4-BE49-F238E27FC236}">
              <a16:creationId xmlns:a16="http://schemas.microsoft.com/office/drawing/2014/main" id="{00000000-0008-0000-0500-00002C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312420</xdr:colOff>
      <xdr:row>13</xdr:row>
      <xdr:rowOff>45720</xdr:rowOff>
    </xdr:from>
    <xdr:to>
      <xdr:col>16</xdr:col>
      <xdr:colOff>426720</xdr:colOff>
      <xdr:row>29</xdr:row>
      <xdr:rowOff>60960</xdr:rowOff>
    </xdr:to>
    <xdr:graphicFrame macro="">
      <xdr:nvGraphicFramePr>
        <xdr:cNvPr id="15405" name="Chart 15">
          <a:extLst>
            <a:ext uri="{FF2B5EF4-FFF2-40B4-BE49-F238E27FC236}">
              <a16:creationId xmlns:a16="http://schemas.microsoft.com/office/drawing/2014/main" id="{00000000-0008-0000-0500-00002D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281940</xdr:colOff>
      <xdr:row>0</xdr:row>
      <xdr:rowOff>30480</xdr:rowOff>
    </xdr:from>
    <xdr:to>
      <xdr:col>16</xdr:col>
      <xdr:colOff>518160</xdr:colOff>
      <xdr:row>13</xdr:row>
      <xdr:rowOff>38100</xdr:rowOff>
    </xdr:to>
    <xdr:graphicFrame macro="">
      <xdr:nvGraphicFramePr>
        <xdr:cNvPr id="15406" name="Chart 28">
          <a:extLst>
            <a:ext uri="{FF2B5EF4-FFF2-40B4-BE49-F238E27FC236}">
              <a16:creationId xmlns:a16="http://schemas.microsoft.com/office/drawing/2014/main" id="{00000000-0008-0000-0500-00002E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68580</xdr:colOff>
      <xdr:row>60</xdr:row>
      <xdr:rowOff>0</xdr:rowOff>
    </xdr:from>
    <xdr:to>
      <xdr:col>16</xdr:col>
      <xdr:colOff>548640</xdr:colOff>
      <xdr:row>76</xdr:row>
      <xdr:rowOff>22860</xdr:rowOff>
    </xdr:to>
    <xdr:graphicFrame macro="">
      <xdr:nvGraphicFramePr>
        <xdr:cNvPr id="15407" name="Chart 29">
          <a:extLst>
            <a:ext uri="{FF2B5EF4-FFF2-40B4-BE49-F238E27FC236}">
              <a16:creationId xmlns:a16="http://schemas.microsoft.com/office/drawing/2014/main" id="{00000000-0008-0000-0500-00002F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708660</xdr:colOff>
      <xdr:row>92</xdr:row>
      <xdr:rowOff>0</xdr:rowOff>
    </xdr:from>
    <xdr:to>
      <xdr:col>8</xdr:col>
      <xdr:colOff>381000</xdr:colOff>
      <xdr:row>108</xdr:row>
      <xdr:rowOff>99060</xdr:rowOff>
    </xdr:to>
    <xdr:graphicFrame macro="">
      <xdr:nvGraphicFramePr>
        <xdr:cNvPr id="15408" name="Chart 30">
          <a:extLst>
            <a:ext uri="{FF2B5EF4-FFF2-40B4-BE49-F238E27FC236}">
              <a16:creationId xmlns:a16="http://schemas.microsoft.com/office/drawing/2014/main" id="{00000000-0008-0000-0500-000030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68580</xdr:colOff>
      <xdr:row>76</xdr:row>
      <xdr:rowOff>68580</xdr:rowOff>
    </xdr:from>
    <xdr:to>
      <xdr:col>5</xdr:col>
      <xdr:colOff>129540</xdr:colOff>
      <xdr:row>91</xdr:row>
      <xdr:rowOff>30480</xdr:rowOff>
    </xdr:to>
    <xdr:graphicFrame macro="">
      <xdr:nvGraphicFramePr>
        <xdr:cNvPr id="15409" name="Chart 32">
          <a:extLst>
            <a:ext uri="{FF2B5EF4-FFF2-40B4-BE49-F238E27FC236}">
              <a16:creationId xmlns:a16="http://schemas.microsoft.com/office/drawing/2014/main" id="{00000000-0008-0000-0500-000031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0</xdr:row>
      <xdr:rowOff>30480</xdr:rowOff>
    </xdr:from>
    <xdr:to>
      <xdr:col>8</xdr:col>
      <xdr:colOff>243840</xdr:colOff>
      <xdr:row>13</xdr:row>
      <xdr:rowOff>0</xdr:rowOff>
    </xdr:to>
    <xdr:graphicFrame macro="">
      <xdr:nvGraphicFramePr>
        <xdr:cNvPr id="15410" name="Chart 36">
          <a:extLst>
            <a:ext uri="{FF2B5EF4-FFF2-40B4-BE49-F238E27FC236}">
              <a16:creationId xmlns:a16="http://schemas.microsoft.com/office/drawing/2014/main" id="{00000000-0008-0000-0500-000032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236220</xdr:colOff>
      <xdr:row>29</xdr:row>
      <xdr:rowOff>106680</xdr:rowOff>
    </xdr:from>
    <xdr:to>
      <xdr:col>16</xdr:col>
      <xdr:colOff>563880</xdr:colOff>
      <xdr:row>44</xdr:row>
      <xdr:rowOff>106680</xdr:rowOff>
    </xdr:to>
    <xdr:graphicFrame macro="">
      <xdr:nvGraphicFramePr>
        <xdr:cNvPr id="15411" name="Chart 37">
          <a:extLst>
            <a:ext uri="{FF2B5EF4-FFF2-40B4-BE49-F238E27FC236}">
              <a16:creationId xmlns:a16="http://schemas.microsoft.com/office/drawing/2014/main" id="{00000000-0008-0000-0500-000033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144780</xdr:colOff>
      <xdr:row>76</xdr:row>
      <xdr:rowOff>76200</xdr:rowOff>
    </xdr:from>
    <xdr:to>
      <xdr:col>11</xdr:col>
      <xdr:colOff>373380</xdr:colOff>
      <xdr:row>91</xdr:row>
      <xdr:rowOff>45720</xdr:rowOff>
    </xdr:to>
    <xdr:graphicFrame macro="">
      <xdr:nvGraphicFramePr>
        <xdr:cNvPr id="15412" name="Chart 39">
          <a:extLst>
            <a:ext uri="{FF2B5EF4-FFF2-40B4-BE49-F238E27FC236}">
              <a16:creationId xmlns:a16="http://schemas.microsoft.com/office/drawing/2014/main" id="{00000000-0008-0000-0500-000034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419100</xdr:colOff>
      <xdr:row>76</xdr:row>
      <xdr:rowOff>121920</xdr:rowOff>
    </xdr:from>
    <xdr:to>
      <xdr:col>16</xdr:col>
      <xdr:colOff>556260</xdr:colOff>
      <xdr:row>91</xdr:row>
      <xdr:rowOff>7620</xdr:rowOff>
    </xdr:to>
    <xdr:graphicFrame macro="">
      <xdr:nvGraphicFramePr>
        <xdr:cNvPr id="15413" name="Chart 40">
          <a:extLst>
            <a:ext uri="{FF2B5EF4-FFF2-40B4-BE49-F238E27FC236}">
              <a16:creationId xmlns:a16="http://schemas.microsoft.com/office/drawing/2014/main" id="{00000000-0008-0000-0500-000035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38100</xdr:colOff>
      <xdr:row>92</xdr:row>
      <xdr:rowOff>0</xdr:rowOff>
    </xdr:from>
    <xdr:to>
      <xdr:col>16</xdr:col>
      <xdr:colOff>60960</xdr:colOff>
      <xdr:row>108</xdr:row>
      <xdr:rowOff>106680</xdr:rowOff>
    </xdr:to>
    <xdr:graphicFrame macro="">
      <xdr:nvGraphicFramePr>
        <xdr:cNvPr id="15414" name="Chart 41">
          <a:extLst>
            <a:ext uri="{FF2B5EF4-FFF2-40B4-BE49-F238E27FC236}">
              <a16:creationId xmlns:a16="http://schemas.microsoft.com/office/drawing/2014/main" id="{00000000-0008-0000-0500-000036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83820</xdr:colOff>
      <xdr:row>0</xdr:row>
      <xdr:rowOff>464820</xdr:rowOff>
    </xdr:from>
    <xdr:to>
      <xdr:col>8</xdr:col>
      <xdr:colOff>1531620</xdr:colOff>
      <xdr:row>0</xdr:row>
      <xdr:rowOff>464820</xdr:rowOff>
    </xdr:to>
    <xdr:sp macro="" textlink="">
      <xdr:nvSpPr>
        <xdr:cNvPr id="35847" name="Line 1">
          <a:extLst>
            <a:ext uri="{FF2B5EF4-FFF2-40B4-BE49-F238E27FC236}">
              <a16:creationId xmlns:a16="http://schemas.microsoft.com/office/drawing/2014/main" id="{00000000-0008-0000-0700-0000078C0000}"/>
            </a:ext>
          </a:extLst>
        </xdr:cNvPr>
        <xdr:cNvSpPr>
          <a:spLocks noChangeShapeType="1"/>
        </xdr:cNvSpPr>
      </xdr:nvSpPr>
      <xdr:spPr bwMode="auto">
        <a:xfrm>
          <a:off x="83820" y="464820"/>
          <a:ext cx="5829300" cy="0"/>
        </a:xfrm>
        <a:prstGeom prst="line">
          <a:avLst/>
        </a:prstGeom>
        <a:noFill/>
        <a:ln w="38100" cmpd="dbl">
          <a:solidFill>
            <a:srgbClr val="0000FF"/>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83820</xdr:colOff>
      <xdr:row>0</xdr:row>
      <xdr:rowOff>464820</xdr:rowOff>
    </xdr:from>
    <xdr:to>
      <xdr:col>8</xdr:col>
      <xdr:colOff>1531620</xdr:colOff>
      <xdr:row>0</xdr:row>
      <xdr:rowOff>464820</xdr:rowOff>
    </xdr:to>
    <xdr:sp macro="" textlink="">
      <xdr:nvSpPr>
        <xdr:cNvPr id="35848" name="Line 2">
          <a:extLst>
            <a:ext uri="{FF2B5EF4-FFF2-40B4-BE49-F238E27FC236}">
              <a16:creationId xmlns:a16="http://schemas.microsoft.com/office/drawing/2014/main" id="{00000000-0008-0000-0700-0000088C0000}"/>
            </a:ext>
          </a:extLst>
        </xdr:cNvPr>
        <xdr:cNvSpPr>
          <a:spLocks noChangeShapeType="1"/>
        </xdr:cNvSpPr>
      </xdr:nvSpPr>
      <xdr:spPr bwMode="auto">
        <a:xfrm>
          <a:off x="83820" y="464820"/>
          <a:ext cx="5829300" cy="0"/>
        </a:xfrm>
        <a:prstGeom prst="line">
          <a:avLst/>
        </a:prstGeom>
        <a:noFill/>
        <a:ln w="38100" cmpd="dbl">
          <a:solidFill>
            <a:srgbClr val="0000FF"/>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comments" Target="../comments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9.bin"/><Relationship Id="rId7" Type="http://schemas.openxmlformats.org/officeDocument/2006/relationships/ctrlProp" Target="../ctrlProps/ctrlProp3.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2.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BB68"/>
  <sheetViews>
    <sheetView showGridLines="0" topLeftCell="E1" zoomScaleNormal="75" zoomScaleSheetLayoutView="75" workbookViewId="0">
      <selection activeCell="J12" sqref="J12"/>
    </sheetView>
  </sheetViews>
  <sheetFormatPr defaultColWidth="9.08984375" defaultRowHeight="11.5" x14ac:dyDescent="0.25"/>
  <cols>
    <col min="1" max="1" width="0.90625" style="2" customWidth="1"/>
    <col min="2" max="2" width="13.453125" style="3" customWidth="1"/>
    <col min="3" max="3" width="15" style="3" customWidth="1"/>
    <col min="4" max="4" width="12.90625" style="2" customWidth="1"/>
    <col min="5" max="5" width="13.453125" style="2" customWidth="1"/>
    <col min="6" max="6" width="17" style="2" customWidth="1"/>
    <col min="7" max="7" width="0.6328125" style="2" customWidth="1"/>
    <col min="8" max="8" width="19.453125" style="2" customWidth="1"/>
    <col min="9" max="9" width="7.6328125" style="2" customWidth="1"/>
    <col min="10" max="10" width="7.08984375" style="2" customWidth="1"/>
    <col min="11" max="11" width="7.6328125" style="2" customWidth="1"/>
    <col min="12" max="12" width="13.36328125" style="2" customWidth="1"/>
    <col min="13" max="13" width="9.08984375" style="2"/>
    <col min="14" max="16384" width="9.08984375" style="3"/>
  </cols>
  <sheetData>
    <row r="1" spans="1:54" s="2" customFormat="1" ht="3.75" customHeight="1" thickBot="1" x14ac:dyDescent="0.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row>
    <row r="2" spans="1:54" ht="20.25" customHeight="1" x14ac:dyDescent="0.25">
      <c r="B2" s="349" t="s">
        <v>167</v>
      </c>
      <c r="C2" s="350"/>
      <c r="D2" s="350"/>
      <c r="E2" s="350"/>
      <c r="F2" s="351"/>
      <c r="G2" s="72"/>
      <c r="H2" s="344" t="s">
        <v>16</v>
      </c>
      <c r="I2" s="345"/>
      <c r="J2" s="345"/>
      <c r="K2" s="345"/>
      <c r="L2" s="346"/>
    </row>
    <row r="3" spans="1:54" s="2" customFormat="1" ht="3" customHeight="1" thickBot="1" x14ac:dyDescent="0.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row>
    <row r="4" spans="1:54" s="37" customFormat="1" ht="30" customHeight="1" x14ac:dyDescent="0.25">
      <c r="A4" s="36"/>
      <c r="B4" s="134" t="s">
        <v>8</v>
      </c>
      <c r="C4" s="338" t="s">
        <v>384</v>
      </c>
      <c r="D4" s="347" t="s">
        <v>0</v>
      </c>
      <c r="E4" s="347"/>
      <c r="F4" s="340" t="s">
        <v>385</v>
      </c>
      <c r="G4" s="36"/>
      <c r="H4" s="128" t="s">
        <v>17</v>
      </c>
      <c r="I4" s="129" t="s">
        <v>29</v>
      </c>
      <c r="J4" s="129" t="s">
        <v>12</v>
      </c>
      <c r="K4" s="129" t="s">
        <v>22</v>
      </c>
      <c r="L4" s="130" t="s">
        <v>161</v>
      </c>
      <c r="M4" s="36"/>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row>
    <row r="5" spans="1:54" ht="26.25" customHeight="1" x14ac:dyDescent="0.25">
      <c r="B5" s="131" t="s">
        <v>149</v>
      </c>
      <c r="C5" s="135">
        <v>44020</v>
      </c>
      <c r="D5" s="348" t="s">
        <v>15</v>
      </c>
      <c r="E5" s="348"/>
      <c r="F5" s="135">
        <v>44101</v>
      </c>
      <c r="H5" s="131" t="s">
        <v>18</v>
      </c>
      <c r="I5" s="342">
        <v>10</v>
      </c>
      <c r="J5" s="342">
        <v>5</v>
      </c>
      <c r="K5" s="342">
        <v>15</v>
      </c>
      <c r="L5" s="136"/>
    </row>
    <row r="6" spans="1:54" ht="38.25" customHeight="1" x14ac:dyDescent="0.25">
      <c r="B6" s="131" t="s">
        <v>63</v>
      </c>
      <c r="C6" s="135">
        <v>44101</v>
      </c>
      <c r="D6" s="348" t="s">
        <v>13</v>
      </c>
      <c r="E6" s="358"/>
      <c r="F6" s="135">
        <v>44101</v>
      </c>
      <c r="H6" s="131" t="s">
        <v>378</v>
      </c>
      <c r="I6" s="342">
        <v>10</v>
      </c>
      <c r="J6" s="342">
        <v>5</v>
      </c>
      <c r="K6" s="342">
        <v>15</v>
      </c>
      <c r="L6" s="136"/>
    </row>
    <row r="7" spans="1:54" ht="27" customHeight="1" x14ac:dyDescent="0.25">
      <c r="B7" s="131" t="s">
        <v>197</v>
      </c>
      <c r="C7" s="102">
        <v>44098</v>
      </c>
      <c r="D7" s="348" t="s">
        <v>198</v>
      </c>
      <c r="E7" s="348"/>
      <c r="F7" s="136" t="s">
        <v>386</v>
      </c>
      <c r="H7" s="131" t="s">
        <v>19</v>
      </c>
      <c r="I7" s="342">
        <v>5</v>
      </c>
      <c r="J7" s="342">
        <v>2</v>
      </c>
      <c r="K7" s="342">
        <v>7</v>
      </c>
      <c r="L7" s="136"/>
    </row>
    <row r="8" spans="1:54" s="2" customFormat="1" ht="27.75" customHeight="1" x14ac:dyDescent="0.25">
      <c r="B8" s="131" t="s">
        <v>5</v>
      </c>
      <c r="C8" s="31" t="s">
        <v>387</v>
      </c>
      <c r="D8" s="348" t="s">
        <v>168</v>
      </c>
      <c r="E8" s="348"/>
      <c r="F8" s="341"/>
      <c r="H8" s="131" t="s">
        <v>165</v>
      </c>
      <c r="I8" s="342">
        <v>5</v>
      </c>
      <c r="J8" s="342">
        <v>2</v>
      </c>
      <c r="K8" s="342">
        <v>7</v>
      </c>
      <c r="L8" s="136"/>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row>
    <row r="9" spans="1:54" ht="31.5" customHeight="1" x14ac:dyDescent="0.25">
      <c r="B9" s="131" t="s">
        <v>4</v>
      </c>
      <c r="C9" s="31" t="s">
        <v>388</v>
      </c>
      <c r="D9" s="348" t="s">
        <v>34</v>
      </c>
      <c r="E9" s="358"/>
      <c r="F9" s="136" t="s">
        <v>110</v>
      </c>
      <c r="H9" s="131" t="s">
        <v>166</v>
      </c>
      <c r="I9" s="342">
        <v>5</v>
      </c>
      <c r="J9" s="342">
        <v>2</v>
      </c>
      <c r="K9" s="342">
        <v>10</v>
      </c>
      <c r="L9" s="136"/>
    </row>
    <row r="10" spans="1:54" ht="27.75" customHeight="1" x14ac:dyDescent="0.25">
      <c r="B10" s="131" t="s">
        <v>158</v>
      </c>
      <c r="C10" s="31" t="s">
        <v>389</v>
      </c>
      <c r="D10" s="348" t="s">
        <v>159</v>
      </c>
      <c r="E10" s="348"/>
      <c r="F10" s="136" t="s">
        <v>386</v>
      </c>
      <c r="H10" s="131" t="s">
        <v>20</v>
      </c>
      <c r="I10" s="342">
        <v>10</v>
      </c>
      <c r="J10" s="339">
        <v>5</v>
      </c>
      <c r="K10" s="342">
        <v>15</v>
      </c>
      <c r="L10" s="136"/>
    </row>
    <row r="11" spans="1:54" ht="45" customHeight="1" x14ac:dyDescent="0.25">
      <c r="B11" s="131" t="s">
        <v>35</v>
      </c>
      <c r="C11" s="31" t="s">
        <v>390</v>
      </c>
      <c r="D11" s="348" t="s">
        <v>14</v>
      </c>
      <c r="E11" s="358"/>
      <c r="F11" s="31" t="s">
        <v>391</v>
      </c>
      <c r="H11" s="131" t="s">
        <v>21</v>
      </c>
      <c r="I11" s="342">
        <v>1</v>
      </c>
      <c r="J11" s="336">
        <v>1</v>
      </c>
      <c r="K11" s="342">
        <v>2</v>
      </c>
      <c r="L11" s="136"/>
    </row>
    <row r="12" spans="1:54" ht="27" customHeight="1" thickBot="1" x14ac:dyDescent="0.3">
      <c r="B12" s="131" t="s">
        <v>43</v>
      </c>
      <c r="C12" s="31" t="s">
        <v>392</v>
      </c>
      <c r="D12" s="348" t="s">
        <v>45</v>
      </c>
      <c r="E12" s="358"/>
      <c r="F12" s="136" t="s">
        <v>393</v>
      </c>
      <c r="H12" s="132" t="s">
        <v>231</v>
      </c>
      <c r="I12" s="342">
        <v>15</v>
      </c>
      <c r="J12" s="337">
        <v>15</v>
      </c>
      <c r="K12" s="342">
        <v>45</v>
      </c>
      <c r="L12" s="139"/>
    </row>
    <row r="13" spans="1:54" ht="27" customHeight="1" x14ac:dyDescent="0.25">
      <c r="B13" s="131" t="s">
        <v>44</v>
      </c>
      <c r="C13" s="31" t="s">
        <v>394</v>
      </c>
      <c r="D13" s="348" t="s">
        <v>7</v>
      </c>
      <c r="E13" s="358"/>
      <c r="F13" s="136" t="s">
        <v>395</v>
      </c>
      <c r="H13" t="s">
        <v>396</v>
      </c>
    </row>
    <row r="14" spans="1:54" s="2" customFormat="1" ht="27" customHeight="1" x14ac:dyDescent="0.25">
      <c r="B14" s="131" t="s">
        <v>136</v>
      </c>
      <c r="C14" s="31" t="s">
        <v>397</v>
      </c>
      <c r="D14" s="348" t="s">
        <v>117</v>
      </c>
      <c r="E14" s="358"/>
      <c r="F14" s="136" t="s">
        <v>398</v>
      </c>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row>
    <row r="15" spans="1:54" s="2" customFormat="1" ht="30.75" customHeight="1" thickBot="1" x14ac:dyDescent="0.3">
      <c r="B15" s="137" t="s">
        <v>6</v>
      </c>
      <c r="C15" s="138" t="s">
        <v>399</v>
      </c>
      <c r="D15" s="359" t="s">
        <v>141</v>
      </c>
      <c r="E15" s="360"/>
      <c r="F15" s="139" t="s">
        <v>397</v>
      </c>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row>
    <row r="16" spans="1:54" s="39" customFormat="1" ht="3.75" customHeight="1" thickBot="1" x14ac:dyDescent="0.3">
      <c r="A16" s="38"/>
      <c r="B16" s="2"/>
      <c r="C16" s="2"/>
      <c r="D16" s="2"/>
      <c r="E16" s="2"/>
      <c r="F16" s="2"/>
      <c r="G16" s="2"/>
      <c r="H16" s="76"/>
      <c r="I16" s="2"/>
      <c r="J16" s="2"/>
      <c r="K16" s="2"/>
      <c r="L16" s="2"/>
      <c r="M16" s="2"/>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row>
    <row r="17" spans="2:54" ht="16.5" customHeight="1" x14ac:dyDescent="0.25">
      <c r="B17" s="352" t="s">
        <v>219</v>
      </c>
      <c r="C17" s="353"/>
      <c r="D17" s="353"/>
      <c r="E17" s="354"/>
      <c r="G17" s="36"/>
      <c r="H17" s="77"/>
    </row>
    <row r="18" spans="2:54" ht="24.75" customHeight="1" x14ac:dyDescent="0.25">
      <c r="B18" s="131"/>
      <c r="C18" s="73" t="s">
        <v>232</v>
      </c>
      <c r="D18" s="74" t="s">
        <v>32</v>
      </c>
      <c r="E18" s="140" t="s">
        <v>229</v>
      </c>
      <c r="H18" s="78"/>
    </row>
    <row r="19" spans="2:54" ht="25.5" customHeight="1" x14ac:dyDescent="0.25">
      <c r="B19" s="131" t="s">
        <v>153</v>
      </c>
      <c r="C19" s="50" t="s">
        <v>107</v>
      </c>
      <c r="D19" s="103">
        <v>200</v>
      </c>
      <c r="E19" s="141">
        <v>45</v>
      </c>
      <c r="H19" s="75"/>
    </row>
    <row r="20" spans="2:54" ht="27" customHeight="1" thickBot="1" x14ac:dyDescent="0.3">
      <c r="B20" s="131" t="s">
        <v>33</v>
      </c>
      <c r="C20" s="50" t="s">
        <v>217</v>
      </c>
      <c r="D20" s="103">
        <v>273</v>
      </c>
      <c r="E20" s="143">
        <v>50.93</v>
      </c>
    </row>
    <row r="21" spans="2:54" ht="23.25" customHeight="1" thickBot="1" x14ac:dyDescent="0.3">
      <c r="B21" s="137" t="s">
        <v>218</v>
      </c>
      <c r="C21" s="282" t="s">
        <v>107</v>
      </c>
      <c r="D21" s="143">
        <v>1475</v>
      </c>
    </row>
    <row r="22" spans="2:54" ht="4.5" customHeight="1" thickBot="1" x14ac:dyDescent="0.3">
      <c r="B22" s="2"/>
      <c r="C22" s="2"/>
    </row>
    <row r="23" spans="2:54" ht="28.5" customHeight="1" x14ac:dyDescent="0.25">
      <c r="B23" s="355" t="s">
        <v>150</v>
      </c>
      <c r="C23" s="356"/>
      <c r="D23" s="356"/>
      <c r="E23" s="356"/>
      <c r="F23" s="356"/>
      <c r="G23" s="356"/>
      <c r="H23" s="357"/>
    </row>
    <row r="24" spans="2:54" ht="26.25" customHeight="1" x14ac:dyDescent="0.25">
      <c r="B24" s="144"/>
      <c r="C24" s="96" t="s">
        <v>178</v>
      </c>
      <c r="D24" s="50" t="s">
        <v>400</v>
      </c>
      <c r="E24" s="50" t="s">
        <v>401</v>
      </c>
      <c r="F24" s="50" t="s">
        <v>402</v>
      </c>
      <c r="H24" s="140" t="s">
        <v>2</v>
      </c>
    </row>
    <row r="25" spans="2:54" ht="22.5" customHeight="1" x14ac:dyDescent="0.25">
      <c r="B25" s="131" t="s">
        <v>150</v>
      </c>
      <c r="C25" s="73" t="s">
        <v>107</v>
      </c>
      <c r="D25" s="283">
        <v>317</v>
      </c>
      <c r="E25" s="283">
        <v>749</v>
      </c>
      <c r="F25" s="283">
        <v>493</v>
      </c>
      <c r="H25" s="293">
        <v>1559</v>
      </c>
    </row>
    <row r="26" spans="2:54" s="2" customFormat="1" ht="25.5" customHeight="1" x14ac:dyDescent="0.25">
      <c r="B26" s="131" t="s">
        <v>151</v>
      </c>
      <c r="C26" s="73" t="s">
        <v>107</v>
      </c>
      <c r="D26" s="283">
        <v>72</v>
      </c>
      <c r="E26" s="283">
        <v>173</v>
      </c>
      <c r="F26" s="283">
        <v>236</v>
      </c>
      <c r="H26" s="293">
        <v>481</v>
      </c>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row>
    <row r="27" spans="2:54" s="2" customFormat="1" ht="35" thickBot="1" x14ac:dyDescent="0.3">
      <c r="B27" s="137" t="s">
        <v>220</v>
      </c>
      <c r="C27" s="142" t="str">
        <f>IF(C20="","",C20)</f>
        <v>FP</v>
      </c>
      <c r="D27" s="284">
        <v>3.03</v>
      </c>
      <c r="E27" s="284">
        <v>8</v>
      </c>
      <c r="F27" s="284">
        <v>5</v>
      </c>
      <c r="G27" s="145"/>
      <c r="H27" s="294">
        <f>SUM(D27:F27)</f>
        <v>16.03</v>
      </c>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row>
    <row r="28" spans="2:54" s="2" customFormat="1" ht="4.5" customHeight="1" x14ac:dyDescent="0.25">
      <c r="C28" s="97"/>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row>
    <row r="29" spans="2:54" s="2" customFormat="1" ht="27" customHeight="1" x14ac:dyDescent="0.25">
      <c r="B29" s="90" t="s">
        <v>71</v>
      </c>
      <c r="C29" s="82" t="s">
        <v>70</v>
      </c>
      <c r="D29" s="104">
        <v>2</v>
      </c>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row>
    <row r="30" spans="2:54" s="2" customFormat="1" x14ac:dyDescent="0.25">
      <c r="B30" s="75"/>
      <c r="C30" s="75"/>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row>
    <row r="31" spans="2:54" x14ac:dyDescent="0.25">
      <c r="B31" s="2"/>
      <c r="C31" s="2"/>
    </row>
    <row r="32" spans="2:54" x14ac:dyDescent="0.25">
      <c r="B32" s="2"/>
      <c r="C32" s="2"/>
    </row>
    <row r="33" spans="2:3" x14ac:dyDescent="0.25">
      <c r="B33" s="2"/>
      <c r="C33" s="2"/>
    </row>
    <row r="34" spans="2:3" x14ac:dyDescent="0.25">
      <c r="B34" s="2"/>
      <c r="C34" s="2"/>
    </row>
    <row r="35" spans="2:3" x14ac:dyDescent="0.25">
      <c r="B35" s="2"/>
      <c r="C35" s="2"/>
    </row>
    <row r="36" spans="2:3" x14ac:dyDescent="0.25">
      <c r="B36" s="2"/>
      <c r="C36" s="2"/>
    </row>
    <row r="37" spans="2:3" x14ac:dyDescent="0.25">
      <c r="B37" s="2"/>
      <c r="C37" s="2"/>
    </row>
    <row r="38" spans="2:3" x14ac:dyDescent="0.25">
      <c r="B38" s="2"/>
      <c r="C38" s="2"/>
    </row>
    <row r="39" spans="2:3" x14ac:dyDescent="0.25">
      <c r="B39" s="2"/>
      <c r="C39" s="2"/>
    </row>
    <row r="40" spans="2:3" x14ac:dyDescent="0.25">
      <c r="B40" s="2"/>
      <c r="C40" s="2"/>
    </row>
    <row r="41" spans="2:3" x14ac:dyDescent="0.25">
      <c r="B41" s="2"/>
      <c r="C41" s="2"/>
    </row>
    <row r="42" spans="2:3" x14ac:dyDescent="0.25">
      <c r="B42" s="2"/>
      <c r="C42" s="2"/>
    </row>
    <row r="43" spans="2:3" x14ac:dyDescent="0.25">
      <c r="B43" s="2"/>
      <c r="C43" s="2"/>
    </row>
    <row r="44" spans="2:3" x14ac:dyDescent="0.25">
      <c r="B44" s="2"/>
      <c r="C44" s="2"/>
    </row>
    <row r="45" spans="2:3" x14ac:dyDescent="0.25">
      <c r="B45" s="2"/>
      <c r="C45" s="2"/>
    </row>
    <row r="46" spans="2:3" x14ac:dyDescent="0.25">
      <c r="B46" s="2"/>
      <c r="C46" s="2"/>
    </row>
    <row r="47" spans="2:3" x14ac:dyDescent="0.25">
      <c r="B47" s="2"/>
      <c r="C47" s="2"/>
    </row>
    <row r="48" spans="2:3" x14ac:dyDescent="0.25">
      <c r="B48" s="2"/>
      <c r="C48" s="2"/>
    </row>
    <row r="49" spans="2:3" x14ac:dyDescent="0.25">
      <c r="B49" s="2"/>
      <c r="C49" s="2"/>
    </row>
    <row r="50" spans="2:3" x14ac:dyDescent="0.25">
      <c r="B50" s="2"/>
      <c r="C50" s="2"/>
    </row>
    <row r="51" spans="2:3" x14ac:dyDescent="0.25">
      <c r="B51" s="2"/>
      <c r="C51" s="2"/>
    </row>
    <row r="52" spans="2:3" x14ac:dyDescent="0.25">
      <c r="B52" s="2"/>
      <c r="C52" s="2"/>
    </row>
    <row r="53" spans="2:3" x14ac:dyDescent="0.25">
      <c r="B53" s="2"/>
      <c r="C53" s="2"/>
    </row>
    <row r="54" spans="2:3" x14ac:dyDescent="0.25">
      <c r="B54" s="2"/>
      <c r="C54" s="2"/>
    </row>
    <row r="55" spans="2:3" x14ac:dyDescent="0.25">
      <c r="B55" s="2"/>
      <c r="C55" s="2"/>
    </row>
    <row r="56" spans="2:3" x14ac:dyDescent="0.25">
      <c r="B56" s="2"/>
      <c r="C56" s="2"/>
    </row>
    <row r="57" spans="2:3" x14ac:dyDescent="0.25">
      <c r="B57" s="2"/>
      <c r="C57" s="2"/>
    </row>
    <row r="58" spans="2:3" x14ac:dyDescent="0.25">
      <c r="B58" s="2"/>
      <c r="C58" s="2"/>
    </row>
    <row r="59" spans="2:3" x14ac:dyDescent="0.25">
      <c r="B59" s="2"/>
      <c r="C59" s="2"/>
    </row>
    <row r="60" spans="2:3" x14ac:dyDescent="0.25">
      <c r="B60" s="2"/>
      <c r="C60" s="2"/>
    </row>
    <row r="61" spans="2:3" x14ac:dyDescent="0.25">
      <c r="B61" s="2"/>
      <c r="C61" s="2"/>
    </row>
    <row r="62" spans="2:3" x14ac:dyDescent="0.25">
      <c r="B62" s="2"/>
      <c r="C62" s="2"/>
    </row>
    <row r="63" spans="2:3" x14ac:dyDescent="0.25">
      <c r="B63" s="2"/>
      <c r="C63" s="2"/>
    </row>
    <row r="64" spans="2:3" x14ac:dyDescent="0.25">
      <c r="B64" s="2"/>
      <c r="C64" s="2"/>
    </row>
    <row r="65" spans="2:3" x14ac:dyDescent="0.25">
      <c r="B65" s="2"/>
      <c r="C65" s="2"/>
    </row>
    <row r="66" spans="2:3" x14ac:dyDescent="0.25">
      <c r="B66" s="2"/>
      <c r="C66" s="2"/>
    </row>
    <row r="67" spans="2:3" x14ac:dyDescent="0.25">
      <c r="B67" s="2"/>
      <c r="C67" s="2"/>
    </row>
    <row r="68" spans="2:3" x14ac:dyDescent="0.25">
      <c r="B68" s="2"/>
      <c r="C68" s="2"/>
    </row>
  </sheetData>
  <customSheetViews>
    <customSheetView guid="{D77630C3-E566-49F3-BD2C-D3992F8DF201}" scale="90" showPageBreaks="1" printArea="1" showRuler="0" topLeftCell="A5">
      <selection activeCell="H5" sqref="H5"/>
      <pageMargins left="0.2" right="0.24" top="0.53" bottom="0.52" header="0.2" footer="0.21"/>
      <printOptions horizontalCentered="1" headings="1"/>
      <pageSetup paperSize="9" scale="78" orientation="landscape" r:id="rId1"/>
      <headerFooter alignWithMargins="0">
        <oddHeader>&amp;C&amp;"Arial,Bold"MAP</oddHeader>
        <oddFooter>&amp;L&amp;"Times New Roman,Regular"PM-04-01
Ver 3.0/ 25-Sep-03&amp;C&amp;9© L&amp;&amp;T Infotech
For Internal Use Only&amp;R&amp;9&amp;P of &amp;N</oddFooter>
      </headerFooter>
    </customSheetView>
    <customSheetView guid="{99472ED2-59D2-11D7-A477-0010B5BCD3CB}" showRuler="0">
      <selection activeCell="B2" sqref="B2:C2"/>
      <pageMargins left="0.75" right="0.75" top="1" bottom="1" header="0.5" footer="0.5"/>
      <pageSetup paperSize="9" orientation="landscape" r:id="rId2"/>
      <headerFooter alignWithMargins="0">
        <oddHeader>&amp;L&amp;"Times New Roman,Regular"MX011T/2.6/09.07.2002&amp;C&amp;"Times New Roman,Bold"MAP</oddHeader>
        <oddFooter>&amp;L&amp;"Times New Roman,Regular"L&amp;&amp;T Infotech&amp;C&amp;"Times New Roman,Regular"&amp;F&amp;R&amp;"Times New Roman,Regular"&amp;P of &amp;N</oddFooter>
      </headerFooter>
    </customSheetView>
  </customSheetViews>
  <mergeCells count="16">
    <mergeCell ref="B17:E17"/>
    <mergeCell ref="B23:H23"/>
    <mergeCell ref="D5:E5"/>
    <mergeCell ref="D6:E6"/>
    <mergeCell ref="D9:E9"/>
    <mergeCell ref="D14:E14"/>
    <mergeCell ref="D15:E15"/>
    <mergeCell ref="D11:E11"/>
    <mergeCell ref="D12:E12"/>
    <mergeCell ref="D13:E13"/>
    <mergeCell ref="H2:L2"/>
    <mergeCell ref="D4:E4"/>
    <mergeCell ref="D7:E7"/>
    <mergeCell ref="D10:E10"/>
    <mergeCell ref="D8:E8"/>
    <mergeCell ref="B2:F2"/>
  </mergeCells>
  <phoneticPr fontId="0" type="noConversion"/>
  <conditionalFormatting sqref="C21 H25:H27 C25:C27">
    <cfRule type="cellIs" dxfId="15" priority="1" stopIfTrue="1" operator="equal">
      <formula>"Hi"</formula>
    </cfRule>
    <cfRule type="cellIs" dxfId="14" priority="2" stopIfTrue="1" operator="equal">
      <formula>"Lo"</formula>
    </cfRule>
  </conditionalFormatting>
  <conditionalFormatting sqref="C29:D29">
    <cfRule type="expression" dxfId="13" priority="3" stopIfTrue="1">
      <formula>$G$2="N"</formula>
    </cfRule>
  </conditionalFormatting>
  <dataValidations xWindow="42844" yWindow="99" count="22">
    <dataValidation type="list" allowBlank="1" showErrorMessage="1" sqref="C8" xr:uid="{00000000-0002-0000-0000-000000000000}">
      <formula1>"Fixed Price, Time &amp; Material, Other"</formula1>
    </dataValidation>
    <dataValidation type="list" allowBlank="1" showErrorMessage="1" sqref="C15:C16" xr:uid="{00000000-0002-0000-0000-000001000000}">
      <formula1>"Vashi, Powai, Pune, Chennai, Mysore, Bangalore"</formula1>
    </dataValidation>
    <dataValidation type="list" allowBlank="1" showErrorMessage="1" sqref="F9" xr:uid="{00000000-0002-0000-0000-000002000000}">
      <formula1>"Requirement, Design, Coding, Testing, Release &amp; Implementation, Acceptance, Warranty, Closed"</formula1>
    </dataValidation>
    <dataValidation type="list" allowBlank="1" showInputMessage="1" showErrorMessage="1" sqref="F12" xr:uid="{00000000-0002-0000-0000-000003000000}">
      <formula1>"Large, Medium, Small, Very Small "</formula1>
    </dataValidation>
    <dataValidation type="list" allowBlank="1" showErrorMessage="1" sqref="C19" xr:uid="{00000000-0002-0000-0000-000004000000}">
      <formula1>"FP, CI, KLOC, SPCI, Other"</formula1>
    </dataValidation>
    <dataValidation type="list" allowBlank="1" showErrorMessage="1" sqref="C20" xr:uid="{00000000-0002-0000-0000-000005000000}">
      <formula1>"FP, CI, KLOC, SPCI, Use Case, Other"</formula1>
    </dataValidation>
    <dataValidation allowBlank="1" showErrorMessage="1" sqref="G8 C21 C29 C25:C27" xr:uid="{00000000-0002-0000-0000-000006000000}"/>
    <dataValidation type="date" allowBlank="1" showInputMessage="1" showErrorMessage="1" sqref="G4:G5" xr:uid="{00000000-0002-0000-0000-000007000000}">
      <formula1>36892</formula1>
      <formula2>38353</formula2>
    </dataValidation>
    <dataValidation type="list" allowBlank="1" showInputMessage="1" showErrorMessage="1" error="Select value from dropdown list only" sqref="C9" xr:uid="{00000000-0002-0000-0000-000008000000}">
      <formula1>"Development, Porting, Other"</formula1>
    </dataValidation>
    <dataValidation type="decimal" allowBlank="1" showErrorMessage="1" error="Enter Decimal values only" sqref="F20 D27:F27" xr:uid="{00000000-0002-0000-0000-000009000000}">
      <formula1>0.5</formula1>
      <formula2>100000</formula2>
    </dataValidation>
    <dataValidation type="decimal" operator="lessThanOrEqual" allowBlank="1" showErrorMessage="1" error="Reused LOC always less than total LOC" sqref="D26:F26" xr:uid="{00000000-0002-0000-0000-00000A000000}">
      <formula1>D25</formula1>
    </dataValidation>
    <dataValidation type="decimal" operator="greaterThan" allowBlank="1" showErrorMessage="1" error="Actual LOC always greater than reused LOC" sqref="D25:F25" xr:uid="{00000000-0002-0000-0000-00000B000000}">
      <formula1>D26</formula1>
    </dataValidation>
    <dataValidation allowBlank="1" showInputMessage="1" showErrorMessage="1" error="Select value from dropdown list only" sqref="F8" xr:uid="{00000000-0002-0000-0000-00000C000000}"/>
    <dataValidation type="whole" operator="greaterThan" allowBlank="1" showErrorMessage="1" error="Enter Decimal values only" sqref="D29" xr:uid="{00000000-0002-0000-0000-00000D000000}">
      <formula1>1</formula1>
    </dataValidation>
    <dataValidation type="decimal" operator="greaterThanOrEqual" allowBlank="1" showErrorMessage="1" error="Enter Decimal values only" sqref="D19:E21" xr:uid="{00000000-0002-0000-0000-00000E000000}">
      <formula1>0.5</formula1>
    </dataValidation>
    <dataValidation type="decimal" operator="lessThanOrEqual" allowBlank="1" showInputMessage="1" showErrorMessage="1" error="LCL should be lesser than Goal" sqref="J5:J12" xr:uid="{00000000-0002-0000-0000-00000F000000}">
      <formula1>I5</formula1>
    </dataValidation>
    <dataValidation type="date" allowBlank="1" showInputMessage="1" showErrorMessage="1" sqref="C5" xr:uid="{00000000-0002-0000-0000-000010000000}">
      <formula1>36892</formula1>
      <formula2>40179</formula2>
    </dataValidation>
    <dataValidation type="date" operator="greaterThan" allowBlank="1" showInputMessage="1" showErrorMessage="1" sqref="F5" xr:uid="{00000000-0002-0000-0000-000011000000}">
      <formula1>C5</formula1>
    </dataValidation>
    <dataValidation type="date" operator="greaterThan" allowBlank="1" showInputMessage="1" showErrorMessage="1" sqref="C6" xr:uid="{00000000-0002-0000-0000-000012000000}">
      <formula1>C5</formula1>
    </dataValidation>
    <dataValidation type="date" operator="greaterThan" allowBlank="1" showInputMessage="1" showErrorMessage="1" sqref="C7" xr:uid="{00000000-0002-0000-0000-000013000000}">
      <formula1>C5</formula1>
    </dataValidation>
    <dataValidation type="decimal" showInputMessage="1" showErrorMessage="1" prompt="The goal value should be wihtin LCL and UCL limits" sqref="I5:I12" xr:uid="{00000000-0002-0000-0000-000014000000}">
      <formula1>-100</formula1>
      <formula2>100</formula2>
    </dataValidation>
    <dataValidation type="decimal" operator="greaterThan" allowBlank="1" showInputMessage="1" showErrorMessage="1" error="UCL should be Greater than Goal" sqref="K5:K12" xr:uid="{00000000-0002-0000-0000-000015000000}">
      <formula1>I5</formula1>
    </dataValidation>
  </dataValidations>
  <printOptions horizontalCentered="1"/>
  <pageMargins left="0.2" right="0.24" top="0.53" bottom="0.52" header="0.2" footer="0.21"/>
  <pageSetup paperSize="9" scale="81" orientation="portrait" r:id="rId3"/>
  <headerFooter alignWithMargins="0">
    <oddHeader>&amp;C&amp;"Arial,Bold"&amp;9Metrics Action Plan</oddHeader>
    <oddFooter>Page &amp;P&amp;R&amp;F</oddFooter>
  </headerFooter>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V64"/>
  <sheetViews>
    <sheetView showGridLines="0" topLeftCell="A37" zoomScaleNormal="90" zoomScaleSheetLayoutView="75" workbookViewId="0">
      <selection activeCell="D4" sqref="D4"/>
    </sheetView>
  </sheetViews>
  <sheetFormatPr defaultColWidth="9.08984375" defaultRowHeight="13" x14ac:dyDescent="0.25"/>
  <cols>
    <col min="1" max="1" width="20.36328125" style="6" customWidth="1"/>
    <col min="2" max="2" width="15.453125" style="4" customWidth="1"/>
    <col min="3" max="3" width="14.453125" style="4" customWidth="1"/>
    <col min="4" max="4" width="13.90625" style="4" customWidth="1"/>
    <col min="5" max="5" width="12.6328125" style="4" customWidth="1"/>
    <col min="6" max="6" width="10.6328125" style="4" customWidth="1"/>
    <col min="7" max="7" width="13.453125" style="4" customWidth="1"/>
    <col min="8" max="8" width="13.08984375" style="4" customWidth="1"/>
    <col min="9" max="9" width="9.453125" style="4" customWidth="1"/>
    <col min="10" max="10" width="8.6328125" style="4" customWidth="1"/>
    <col min="11" max="16384" width="9.08984375" style="4"/>
  </cols>
  <sheetData>
    <row r="1" spans="1:256" s="1" customFormat="1" ht="4.5" customHeight="1" thickBot="1" x14ac:dyDescent="0.3"/>
    <row r="2" spans="1:256" ht="15.75" customHeight="1" x14ac:dyDescent="0.25">
      <c r="A2" s="146" t="s">
        <v>24</v>
      </c>
      <c r="B2" s="147"/>
      <c r="C2" s="147"/>
      <c r="D2" s="133"/>
      <c r="E2" s="1"/>
      <c r="F2" s="1"/>
      <c r="G2" s="1"/>
      <c r="H2" s="1"/>
      <c r="I2" s="1"/>
      <c r="J2" s="1"/>
    </row>
    <row r="3" spans="1:256" s="1" customFormat="1" ht="12.75" customHeight="1" x14ac:dyDescent="0.25">
      <c r="A3" s="148"/>
      <c r="B3" s="82" t="s">
        <v>29</v>
      </c>
      <c r="C3" s="82" t="s">
        <v>12</v>
      </c>
      <c r="D3" s="149" t="s">
        <v>22</v>
      </c>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row>
    <row r="4" spans="1:256" s="1" customFormat="1" ht="15" customHeight="1" thickBot="1" x14ac:dyDescent="0.3">
      <c r="A4" s="150" t="s">
        <v>169</v>
      </c>
      <c r="B4" s="151">
        <f>IF('Project Info'!I6="","",'Project Info'!I6)</f>
        <v>10</v>
      </c>
      <c r="C4" s="151">
        <f>IF('Project Info'!J6="","",'Project Info'!J6)</f>
        <v>5</v>
      </c>
      <c r="D4" s="152">
        <f>IF('Project Info'!K6="","",'Project Info'!K6)</f>
        <v>15</v>
      </c>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row>
    <row r="5" spans="1:256" s="1" customFormat="1" ht="3.75" customHeight="1" thickBot="1" x14ac:dyDescent="0.3">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row>
    <row r="6" spans="1:256" s="21" customFormat="1" ht="36.75" customHeight="1" x14ac:dyDescent="0.25">
      <c r="A6" s="153" t="s">
        <v>86</v>
      </c>
      <c r="B6" s="154" t="s">
        <v>37</v>
      </c>
      <c r="C6" s="154" t="s">
        <v>144</v>
      </c>
      <c r="D6" s="154" t="s">
        <v>145</v>
      </c>
      <c r="E6" s="154" t="s">
        <v>221</v>
      </c>
      <c r="F6" s="154" t="s">
        <v>23</v>
      </c>
      <c r="G6" s="178" t="s">
        <v>142</v>
      </c>
      <c r="H6" s="155" t="s">
        <v>46</v>
      </c>
      <c r="I6" s="1"/>
      <c r="J6" s="1"/>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row>
    <row r="7" spans="1:256" s="21" customFormat="1" ht="12.75" customHeight="1" x14ac:dyDescent="0.25">
      <c r="A7" s="156" t="s">
        <v>128</v>
      </c>
      <c r="B7" s="55">
        <v>141</v>
      </c>
      <c r="C7" s="55">
        <v>141</v>
      </c>
      <c r="D7" s="56">
        <v>18.75</v>
      </c>
      <c r="E7" s="98">
        <f t="shared" ref="E7:E19" si="0">IF(D7="","",IF(ISERROR((D7-C7)/C7),"",100*(D7-C7)/C7))</f>
        <v>-86.702127659574472</v>
      </c>
      <c r="F7" s="127" t="str">
        <f>IF(E7="","",IF(C$4="","",IF(D$4="","", IF(E7&gt;D$4,"Hi",IF(E7&lt;C$4,"Lo","Ok")))))</f>
        <v>Lo</v>
      </c>
      <c r="G7" s="285"/>
      <c r="H7" s="279"/>
      <c r="I7" s="1"/>
      <c r="J7" s="1"/>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row>
    <row r="8" spans="1:256" s="21" customFormat="1" ht="13.5" customHeight="1" x14ac:dyDescent="0.25">
      <c r="A8" s="156" t="s">
        <v>122</v>
      </c>
      <c r="B8" s="55">
        <v>32.1</v>
      </c>
      <c r="C8" s="55">
        <v>32.1</v>
      </c>
      <c r="D8" s="56">
        <v>1.75</v>
      </c>
      <c r="E8" s="98">
        <f t="shared" si="0"/>
        <v>-94.548286604361365</v>
      </c>
      <c r="F8" s="127" t="str">
        <f t="shared" ref="F8:F19" si="1">IF(E8="","",IF(C$4="","",IF(D$4="","", IF(E8&gt;D$4,"Hi",IF(E8&lt;C$4,"Lo","Ok")))))</f>
        <v>Lo</v>
      </c>
      <c r="G8" s="285"/>
      <c r="H8" s="279"/>
      <c r="I8" s="1"/>
      <c r="J8" s="1"/>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c r="IL8" s="4"/>
      <c r="IM8" s="4"/>
      <c r="IN8" s="4"/>
      <c r="IO8" s="4"/>
      <c r="IP8" s="4"/>
      <c r="IQ8" s="4"/>
      <c r="IR8" s="4"/>
      <c r="IS8" s="4"/>
      <c r="IT8" s="4"/>
      <c r="IU8" s="4"/>
      <c r="IV8" s="4"/>
    </row>
    <row r="9" spans="1:256" s="21" customFormat="1" ht="13.5" customHeight="1" x14ac:dyDescent="0.25">
      <c r="A9" s="156" t="s">
        <v>123</v>
      </c>
      <c r="B9" s="55">
        <v>75</v>
      </c>
      <c r="C9" s="55">
        <v>75</v>
      </c>
      <c r="D9" s="56">
        <v>1.4</v>
      </c>
      <c r="E9" s="98">
        <f t="shared" si="0"/>
        <v>-98.133333333333326</v>
      </c>
      <c r="F9" s="127" t="str">
        <f t="shared" si="1"/>
        <v>Lo</v>
      </c>
      <c r="G9" s="285"/>
      <c r="H9" s="279"/>
      <c r="I9" s="1"/>
      <c r="J9" s="1"/>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c r="IL9" s="4"/>
      <c r="IM9" s="4"/>
      <c r="IN9" s="4"/>
      <c r="IO9" s="4"/>
      <c r="IP9" s="4"/>
      <c r="IQ9" s="4"/>
      <c r="IR9" s="4"/>
      <c r="IS9" s="4"/>
      <c r="IT9" s="4"/>
      <c r="IU9" s="4"/>
      <c r="IV9" s="4"/>
    </row>
    <row r="10" spans="1:256" s="21" customFormat="1" ht="12.75" customHeight="1" x14ac:dyDescent="0.25">
      <c r="A10" s="156" t="s">
        <v>124</v>
      </c>
      <c r="B10" s="55">
        <v>105</v>
      </c>
      <c r="C10" s="55">
        <v>105</v>
      </c>
      <c r="D10" s="56">
        <v>2.5</v>
      </c>
      <c r="E10" s="98">
        <f t="shared" si="0"/>
        <v>-97.61904761904762</v>
      </c>
      <c r="F10" s="127" t="str">
        <f t="shared" si="1"/>
        <v>Lo</v>
      </c>
      <c r="G10" s="285"/>
      <c r="H10" s="279"/>
      <c r="I10" s="1"/>
      <c r="J10" s="1"/>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c r="IL10" s="4"/>
      <c r="IM10" s="4"/>
      <c r="IN10" s="4"/>
      <c r="IO10" s="4"/>
      <c r="IP10" s="4"/>
      <c r="IQ10" s="4"/>
      <c r="IR10" s="4"/>
      <c r="IS10" s="4"/>
      <c r="IT10" s="4"/>
      <c r="IU10" s="4"/>
      <c r="IV10" s="4"/>
    </row>
    <row r="11" spans="1:256" s="21" customFormat="1" ht="13.5" customHeight="1" x14ac:dyDescent="0.25">
      <c r="A11" s="156" t="s">
        <v>210</v>
      </c>
      <c r="B11" s="55">
        <v>45</v>
      </c>
      <c r="C11" s="55">
        <v>45</v>
      </c>
      <c r="D11" s="56">
        <v>0.3</v>
      </c>
      <c r="E11" s="98">
        <f t="shared" si="0"/>
        <v>-99.333333333333329</v>
      </c>
      <c r="F11" s="127" t="str">
        <f t="shared" si="1"/>
        <v>Lo</v>
      </c>
      <c r="G11" s="285"/>
      <c r="H11" s="279"/>
      <c r="I11" s="1"/>
      <c r="J11" s="1"/>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row>
    <row r="12" spans="1:256" x14ac:dyDescent="0.25">
      <c r="A12" s="156" t="s">
        <v>1</v>
      </c>
      <c r="B12" s="55">
        <v>480.9</v>
      </c>
      <c r="C12" s="55">
        <v>480.9</v>
      </c>
      <c r="D12" s="56">
        <v>8</v>
      </c>
      <c r="E12" s="98">
        <f t="shared" si="0"/>
        <v>-98.336452484924109</v>
      </c>
      <c r="F12" s="127" t="str">
        <f t="shared" si="1"/>
        <v>Lo</v>
      </c>
      <c r="G12" s="285"/>
      <c r="H12" s="279"/>
      <c r="I12" s="1"/>
      <c r="J12" s="1"/>
    </row>
    <row r="13" spans="1:256" x14ac:dyDescent="0.25">
      <c r="A13" s="156" t="s">
        <v>200</v>
      </c>
      <c r="B13" s="55">
        <v>87</v>
      </c>
      <c r="C13" s="55">
        <v>87</v>
      </c>
      <c r="D13" s="56">
        <v>0.83</v>
      </c>
      <c r="E13" s="98">
        <f t="shared" si="0"/>
        <v>-99.045977011494259</v>
      </c>
      <c r="F13" s="127" t="str">
        <f t="shared" si="1"/>
        <v>Lo</v>
      </c>
      <c r="G13" s="285"/>
      <c r="H13" s="279"/>
      <c r="I13" s="1"/>
      <c r="J13" s="1"/>
    </row>
    <row r="14" spans="1:256" s="21" customFormat="1" ht="15.75" customHeight="1" x14ac:dyDescent="0.25">
      <c r="A14" s="156" t="s">
        <v>125</v>
      </c>
      <c r="B14" s="55">
        <v>84</v>
      </c>
      <c r="C14" s="55">
        <v>84</v>
      </c>
      <c r="D14" s="56">
        <v>0.83</v>
      </c>
      <c r="E14" s="98">
        <f t="shared" si="0"/>
        <v>-99.011904761904759</v>
      </c>
      <c r="F14" s="127" t="str">
        <f t="shared" si="1"/>
        <v>Lo</v>
      </c>
      <c r="G14" s="285"/>
      <c r="H14" s="279"/>
      <c r="I14" s="1"/>
      <c r="J14" s="1"/>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c r="IL14" s="4"/>
      <c r="IM14" s="4"/>
      <c r="IN14" s="4"/>
      <c r="IO14" s="4"/>
      <c r="IP14" s="4"/>
      <c r="IQ14" s="4"/>
      <c r="IR14" s="4"/>
      <c r="IS14" s="4"/>
      <c r="IT14" s="4"/>
      <c r="IU14" s="4"/>
      <c r="IV14" s="4"/>
    </row>
    <row r="15" spans="1:256" s="21" customFormat="1" ht="15.75" customHeight="1" x14ac:dyDescent="0.25">
      <c r="A15" s="156" t="s">
        <v>126</v>
      </c>
      <c r="B15" s="55">
        <v>81</v>
      </c>
      <c r="C15" s="55">
        <v>81</v>
      </c>
      <c r="D15" s="56">
        <v>0.83</v>
      </c>
      <c r="E15" s="98">
        <f t="shared" si="0"/>
        <v>-98.975308641975303</v>
      </c>
      <c r="F15" s="127" t="str">
        <f t="shared" si="1"/>
        <v>Lo</v>
      </c>
      <c r="G15" s="285"/>
      <c r="H15" s="279"/>
      <c r="I15" s="1"/>
      <c r="J15" s="1"/>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c r="IE15" s="4"/>
      <c r="IF15" s="4"/>
      <c r="IG15" s="4"/>
      <c r="IH15" s="4"/>
      <c r="II15" s="4"/>
      <c r="IJ15" s="4"/>
      <c r="IK15" s="4"/>
      <c r="IL15" s="4"/>
      <c r="IM15" s="4"/>
      <c r="IN15" s="4"/>
      <c r="IO15" s="4"/>
      <c r="IP15" s="4"/>
      <c r="IQ15" s="4"/>
      <c r="IR15" s="4"/>
      <c r="IS15" s="4"/>
      <c r="IT15" s="4"/>
      <c r="IU15" s="4"/>
      <c r="IV15" s="4"/>
    </row>
    <row r="16" spans="1:256" s="21" customFormat="1" ht="14.25" customHeight="1" x14ac:dyDescent="0.25">
      <c r="A16" s="156" t="s">
        <v>87</v>
      </c>
      <c r="B16" s="55">
        <v>190</v>
      </c>
      <c r="C16" s="55"/>
      <c r="D16" s="56"/>
      <c r="E16" s="98" t="str">
        <f t="shared" si="0"/>
        <v/>
      </c>
      <c r="F16" s="127" t="str">
        <f t="shared" si="1"/>
        <v/>
      </c>
      <c r="G16" s="285"/>
      <c r="H16" s="279"/>
      <c r="I16" s="40"/>
      <c r="J16" s="1"/>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c r="IE16" s="4"/>
      <c r="IF16" s="4"/>
      <c r="IG16" s="4"/>
      <c r="IH16" s="4"/>
      <c r="II16" s="4"/>
      <c r="IJ16" s="4"/>
      <c r="IK16" s="4"/>
      <c r="IL16" s="4"/>
      <c r="IM16" s="4"/>
      <c r="IN16" s="4"/>
      <c r="IO16" s="4"/>
      <c r="IP16" s="4"/>
      <c r="IQ16" s="4"/>
      <c r="IR16" s="4"/>
      <c r="IS16" s="4"/>
      <c r="IT16" s="4"/>
      <c r="IU16" s="4"/>
      <c r="IV16" s="4"/>
    </row>
    <row r="17" spans="1:256" ht="15" customHeight="1" x14ac:dyDescent="0.25">
      <c r="A17" s="158" t="s">
        <v>112</v>
      </c>
      <c r="B17" s="55">
        <v>45</v>
      </c>
      <c r="C17" s="55"/>
      <c r="D17" s="56"/>
      <c r="E17" s="98" t="str">
        <f t="shared" si="0"/>
        <v/>
      </c>
      <c r="F17" s="127" t="str">
        <f t="shared" si="1"/>
        <v/>
      </c>
      <c r="G17" s="286"/>
      <c r="H17" s="280"/>
      <c r="I17" s="1"/>
      <c r="J17" s="1"/>
    </row>
    <row r="18" spans="1:256" ht="15.75" customHeight="1" x14ac:dyDescent="0.25">
      <c r="A18" s="158" t="s">
        <v>11</v>
      </c>
      <c r="B18" s="55">
        <v>28</v>
      </c>
      <c r="C18" s="55"/>
      <c r="D18" s="56"/>
      <c r="E18" s="98" t="str">
        <f t="shared" si="0"/>
        <v/>
      </c>
      <c r="F18" s="169"/>
      <c r="G18" s="169"/>
      <c r="H18" s="170"/>
      <c r="I18" s="1"/>
      <c r="J18" s="1"/>
    </row>
    <row r="19" spans="1:256" ht="27.75" customHeight="1" thickBot="1" x14ac:dyDescent="0.3">
      <c r="A19" s="150" t="s">
        <v>9</v>
      </c>
      <c r="B19" s="159">
        <f>IF(SUM(B7:B18)="","",SUM(B7:B18))</f>
        <v>1394</v>
      </c>
      <c r="C19" s="159">
        <f>IF(SUM(C7:C18)="","",SUM(C7:C18))</f>
        <v>1131</v>
      </c>
      <c r="D19" s="159">
        <f>IF(SUM(D7:D18)="","",SUM(D7:D18))</f>
        <v>35.19</v>
      </c>
      <c r="E19" s="160">
        <f t="shared" si="0"/>
        <v>-96.888594164456237</v>
      </c>
      <c r="F19" s="161" t="str">
        <f t="shared" si="1"/>
        <v>Lo</v>
      </c>
      <c r="G19" s="287"/>
      <c r="H19" s="281"/>
      <c r="I19" s="1"/>
      <c r="J19" s="1"/>
    </row>
    <row r="20" spans="1:256" ht="4.5" customHeight="1" thickBot="1" x14ac:dyDescent="0.3">
      <c r="A20" s="1"/>
      <c r="B20" s="1"/>
      <c r="C20" s="1"/>
      <c r="D20" s="1"/>
      <c r="E20" s="1"/>
      <c r="F20" s="1"/>
      <c r="G20" s="1"/>
      <c r="H20" s="1"/>
      <c r="I20" s="1"/>
      <c r="J20" s="1"/>
    </row>
    <row r="21" spans="1:256" ht="23" x14ac:dyDescent="0.25">
      <c r="A21" s="163"/>
      <c r="B21" s="154" t="s">
        <v>48</v>
      </c>
      <c r="C21" s="155" t="s">
        <v>47</v>
      </c>
      <c r="D21" s="1"/>
      <c r="E21" s="366" t="s">
        <v>359</v>
      </c>
      <c r="F21" s="367"/>
      <c r="G21" s="367"/>
      <c r="H21" s="368"/>
      <c r="I21" s="1"/>
      <c r="J21" s="1"/>
    </row>
    <row r="22" spans="1:256" ht="24.75" customHeight="1" x14ac:dyDescent="0.25">
      <c r="A22" s="131" t="s">
        <v>3</v>
      </c>
      <c r="B22" s="56">
        <v>56.7</v>
      </c>
      <c r="C22" s="297">
        <v>3</v>
      </c>
      <c r="D22" s="1"/>
      <c r="E22" s="156" t="s">
        <v>162</v>
      </c>
      <c r="F22" s="56">
        <v>31</v>
      </c>
      <c r="G22" s="92" t="s">
        <v>193</v>
      </c>
      <c r="H22" s="165">
        <f>IF(F22="","",(IF(ISERROR(F22/(C$27)),"",F22*100/(C$27))))</f>
        <v>53.273758377728136</v>
      </c>
      <c r="I22" s="1"/>
      <c r="J22" s="1"/>
    </row>
    <row r="23" spans="1:256" ht="26.25" customHeight="1" x14ac:dyDescent="0.25">
      <c r="A23" s="131" t="s">
        <v>10</v>
      </c>
      <c r="B23" s="56">
        <v>29.1</v>
      </c>
      <c r="C23" s="297">
        <v>5</v>
      </c>
      <c r="D23" s="1"/>
      <c r="E23" s="156" t="s">
        <v>163</v>
      </c>
      <c r="F23" s="56">
        <v>23</v>
      </c>
      <c r="G23" s="92" t="s">
        <v>194</v>
      </c>
      <c r="H23" s="165">
        <f>IF(F23="","",(IF(ISERROR(F23/(C$27)),"",F23*100/(C$27))))</f>
        <v>39.525691699604742</v>
      </c>
      <c r="I23" s="51"/>
      <c r="J23" s="1"/>
    </row>
    <row r="24" spans="1:256" ht="25.5" customHeight="1" x14ac:dyDescent="0.25">
      <c r="A24" s="131" t="s">
        <v>139</v>
      </c>
      <c r="B24" s="56">
        <v>0</v>
      </c>
      <c r="C24" s="297">
        <v>0</v>
      </c>
      <c r="D24" s="1"/>
      <c r="E24" s="156" t="s">
        <v>164</v>
      </c>
      <c r="F24" s="56">
        <v>15</v>
      </c>
      <c r="G24" s="92" t="s">
        <v>192</v>
      </c>
      <c r="H24" s="165">
        <f>IF(F24="","",(IF(ISERROR(F24/(C$27)),"",F24*100/(C$27))))</f>
        <v>25.777625021481356</v>
      </c>
      <c r="I24" s="1"/>
      <c r="J24" s="1"/>
    </row>
    <row r="25" spans="1:256" ht="23" x14ac:dyDescent="0.25">
      <c r="A25" s="131" t="s">
        <v>140</v>
      </c>
      <c r="B25" s="56">
        <v>30</v>
      </c>
      <c r="C25" s="297">
        <v>8</v>
      </c>
      <c r="D25" s="1"/>
      <c r="E25" s="166" t="s">
        <v>216</v>
      </c>
      <c r="F25" s="295">
        <f>SUM(F22:F24)</f>
        <v>69</v>
      </c>
      <c r="G25" s="89" t="s">
        <v>195</v>
      </c>
      <c r="H25" s="165">
        <f>IF(F24="","",(IF(ISERROR(F24/F23),"",100*(F24/F23))))</f>
        <v>65.217391304347828</v>
      </c>
      <c r="I25" s="1"/>
      <c r="J25" s="1"/>
    </row>
    <row r="26" spans="1:256" ht="23.5" thickBot="1" x14ac:dyDescent="0.3">
      <c r="A26" s="131" t="s">
        <v>154</v>
      </c>
      <c r="B26" s="56">
        <v>30</v>
      </c>
      <c r="C26" s="297">
        <v>7</v>
      </c>
      <c r="D26" s="1"/>
      <c r="E26" s="171" t="s">
        <v>205</v>
      </c>
      <c r="F26" s="172">
        <f>IF(F25="","",(IF(ISERROR(F25/(C$27)),"",F25*100/(C$27))))</f>
        <v>118.57707509881423</v>
      </c>
      <c r="G26" s="176"/>
      <c r="H26" s="177"/>
      <c r="I26" s="1"/>
      <c r="J26" s="1"/>
    </row>
    <row r="27" spans="1:256" ht="27.75" customHeight="1" x14ac:dyDescent="0.25">
      <c r="A27" s="164" t="s">
        <v>143</v>
      </c>
      <c r="B27" s="295">
        <f>SUM(B22:B26,B19)</f>
        <v>1539.8</v>
      </c>
      <c r="C27" s="296">
        <f>SUM(C22:C26,D19)</f>
        <v>58.19</v>
      </c>
      <c r="D27" s="1"/>
      <c r="E27" s="361" t="s">
        <v>360</v>
      </c>
      <c r="F27" s="362"/>
      <c r="G27" s="363"/>
      <c r="H27" s="174">
        <v>0</v>
      </c>
      <c r="I27" s="1"/>
      <c r="J27" s="1"/>
    </row>
    <row r="28" spans="1:256" ht="25.5" customHeight="1" thickBot="1" x14ac:dyDescent="0.3">
      <c r="A28" s="137" t="s">
        <v>111</v>
      </c>
      <c r="B28" s="298">
        <v>15</v>
      </c>
      <c r="C28" s="299">
        <v>2</v>
      </c>
      <c r="D28" s="1"/>
      <c r="E28" s="364" t="s">
        <v>361</v>
      </c>
      <c r="F28" s="359"/>
      <c r="G28" s="365"/>
      <c r="H28" s="173">
        <v>0</v>
      </c>
      <c r="I28" s="1"/>
      <c r="J28" s="1"/>
    </row>
    <row r="29" spans="1:256" s="5" customFormat="1" ht="18.75" customHeight="1" thickBot="1" x14ac:dyDescent="0.3">
      <c r="A29" s="1"/>
      <c r="B29" s="1"/>
      <c r="C29" s="1"/>
      <c r="D29" s="1"/>
      <c r="E29" s="1"/>
      <c r="F29" s="1"/>
      <c r="G29" s="1"/>
      <c r="H29" s="1"/>
      <c r="I29" s="1"/>
      <c r="J29" s="1"/>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c r="GH29" s="4"/>
      <c r="GI29" s="4"/>
      <c r="GJ29" s="4"/>
      <c r="GK29" s="4"/>
      <c r="GL29" s="4"/>
      <c r="GM29" s="4"/>
      <c r="GN29" s="4"/>
      <c r="GO29" s="4"/>
      <c r="GP29" s="4"/>
      <c r="GQ29" s="4"/>
      <c r="GR29" s="4"/>
      <c r="GS29" s="4"/>
      <c r="GT29" s="4"/>
      <c r="GU29" s="4"/>
      <c r="GV29" s="4"/>
      <c r="GW29" s="4"/>
      <c r="GX29" s="4"/>
      <c r="GY29" s="4"/>
      <c r="GZ29" s="4"/>
      <c r="HA29" s="4"/>
      <c r="HB29" s="4"/>
      <c r="HC29" s="4"/>
      <c r="HD29" s="4"/>
      <c r="HE29" s="4"/>
      <c r="HF29" s="4"/>
      <c r="HG29" s="4"/>
      <c r="HH29" s="4"/>
      <c r="HI29" s="4"/>
      <c r="HJ29" s="4"/>
      <c r="HK29" s="4"/>
      <c r="HL29" s="4"/>
      <c r="HM29" s="4"/>
      <c r="HN29" s="4"/>
      <c r="HO29" s="4"/>
      <c r="HP29" s="4"/>
      <c r="HQ29" s="4"/>
      <c r="HR29" s="4"/>
      <c r="HS29" s="4"/>
      <c r="HT29" s="4"/>
      <c r="HU29" s="4"/>
      <c r="HV29" s="4"/>
      <c r="HW29" s="4"/>
      <c r="HX29" s="4"/>
      <c r="HY29" s="4"/>
      <c r="HZ29" s="4"/>
      <c r="IA29" s="4"/>
      <c r="IB29" s="4"/>
      <c r="IC29" s="4"/>
      <c r="ID29" s="4"/>
      <c r="IE29" s="4"/>
      <c r="IF29" s="4"/>
      <c r="IG29" s="4"/>
      <c r="IH29" s="4"/>
      <c r="II29" s="4"/>
      <c r="IJ29" s="4"/>
      <c r="IK29" s="4"/>
      <c r="IL29" s="4"/>
      <c r="IM29" s="4"/>
      <c r="IN29" s="4"/>
      <c r="IO29" s="4"/>
      <c r="IP29" s="4"/>
      <c r="IQ29" s="4"/>
      <c r="IR29" s="4"/>
      <c r="IS29" s="4"/>
      <c r="IT29" s="4"/>
      <c r="IU29" s="4"/>
      <c r="IV29" s="4"/>
    </row>
    <row r="30" spans="1:256" s="5" customFormat="1" ht="18.75" customHeight="1" x14ac:dyDescent="0.25">
      <c r="A30" s="366" t="s">
        <v>362</v>
      </c>
      <c r="B30" s="368"/>
      <c r="C30" s="1"/>
      <c r="D30" s="1"/>
      <c r="E30" s="1"/>
      <c r="F30" s="1"/>
      <c r="G30" s="1"/>
      <c r="H30" s="1"/>
      <c r="I30" s="1"/>
      <c r="J30" s="1"/>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c r="GH30" s="4"/>
      <c r="GI30" s="4"/>
      <c r="GJ30" s="4"/>
      <c r="GK30" s="4"/>
      <c r="GL30" s="4"/>
      <c r="GM30" s="4"/>
      <c r="GN30" s="4"/>
      <c r="GO30" s="4"/>
      <c r="GP30" s="4"/>
      <c r="GQ30" s="4"/>
      <c r="GR30" s="4"/>
      <c r="GS30" s="4"/>
      <c r="GT30" s="4"/>
      <c r="GU30" s="4"/>
      <c r="GV30" s="4"/>
      <c r="GW30" s="4"/>
      <c r="GX30" s="4"/>
      <c r="GY30" s="4"/>
      <c r="GZ30" s="4"/>
      <c r="HA30" s="4"/>
      <c r="HB30" s="4"/>
      <c r="HC30" s="4"/>
      <c r="HD30" s="4"/>
      <c r="HE30" s="4"/>
      <c r="HF30" s="4"/>
      <c r="HG30" s="4"/>
      <c r="HH30" s="4"/>
      <c r="HI30" s="4"/>
      <c r="HJ30" s="4"/>
      <c r="HK30" s="4"/>
      <c r="HL30" s="4"/>
      <c r="HM30" s="4"/>
      <c r="HN30" s="4"/>
      <c r="HO30" s="4"/>
      <c r="HP30" s="4"/>
      <c r="HQ30" s="4"/>
      <c r="HR30" s="4"/>
      <c r="HS30" s="4"/>
      <c r="HT30" s="4"/>
      <c r="HU30" s="4"/>
      <c r="HV30" s="4"/>
      <c r="HW30" s="4"/>
      <c r="HX30" s="4"/>
      <c r="HY30" s="4"/>
      <c r="HZ30" s="4"/>
      <c r="IA30" s="4"/>
      <c r="IB30" s="4"/>
      <c r="IC30" s="4"/>
      <c r="ID30" s="4"/>
      <c r="IE30" s="4"/>
      <c r="IF30" s="4"/>
      <c r="IG30" s="4"/>
      <c r="IH30" s="4"/>
      <c r="II30" s="4"/>
      <c r="IJ30" s="4"/>
      <c r="IK30" s="4"/>
      <c r="IL30" s="4"/>
      <c r="IM30" s="4"/>
      <c r="IN30" s="4"/>
      <c r="IO30" s="4"/>
      <c r="IP30" s="4"/>
      <c r="IQ30" s="4"/>
      <c r="IR30" s="4"/>
      <c r="IS30" s="4"/>
      <c r="IT30" s="4"/>
      <c r="IU30" s="4"/>
      <c r="IV30" s="4"/>
    </row>
    <row r="31" spans="1:256" s="5" customFormat="1" ht="27.75" customHeight="1" x14ac:dyDescent="0.25">
      <c r="A31" s="167" t="s">
        <v>199</v>
      </c>
      <c r="B31" s="149" t="s">
        <v>215</v>
      </c>
      <c r="C31" s="1"/>
      <c r="D31" s="1"/>
      <c r="E31" s="1"/>
      <c r="F31" s="1"/>
      <c r="G31" s="1"/>
      <c r="H31" s="1"/>
      <c r="I31" s="1"/>
      <c r="J31" s="1"/>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c r="GH31" s="4"/>
      <c r="GI31" s="4"/>
      <c r="GJ31" s="4"/>
      <c r="GK31" s="4"/>
      <c r="GL31" s="4"/>
      <c r="GM31" s="4"/>
      <c r="GN31" s="4"/>
      <c r="GO31" s="4"/>
      <c r="GP31" s="4"/>
      <c r="GQ31" s="4"/>
      <c r="GR31" s="4"/>
      <c r="GS31" s="4"/>
      <c r="GT31" s="4"/>
      <c r="GU31" s="4"/>
      <c r="GV31" s="4"/>
      <c r="GW31" s="4"/>
      <c r="GX31" s="4"/>
      <c r="GY31" s="4"/>
      <c r="GZ31" s="4"/>
      <c r="HA31" s="4"/>
      <c r="HB31" s="4"/>
      <c r="HC31" s="4"/>
      <c r="HD31" s="4"/>
      <c r="HE31" s="4"/>
      <c r="HF31" s="4"/>
      <c r="HG31" s="4"/>
      <c r="HH31" s="4"/>
      <c r="HI31" s="4"/>
      <c r="HJ31" s="4"/>
      <c r="HK31" s="4"/>
      <c r="HL31" s="4"/>
      <c r="HM31" s="4"/>
      <c r="HN31" s="4"/>
      <c r="HO31" s="4"/>
      <c r="HP31" s="4"/>
      <c r="HQ31" s="4"/>
      <c r="HR31" s="4"/>
      <c r="HS31" s="4"/>
      <c r="HT31" s="4"/>
      <c r="HU31" s="4"/>
      <c r="HV31" s="4"/>
      <c r="HW31" s="4"/>
      <c r="HX31" s="4"/>
      <c r="HY31" s="4"/>
      <c r="HZ31" s="4"/>
      <c r="IA31" s="4"/>
      <c r="IB31" s="4"/>
      <c r="IC31" s="4"/>
      <c r="ID31" s="4"/>
      <c r="IE31" s="4"/>
      <c r="IF31" s="4"/>
      <c r="IG31" s="4"/>
      <c r="IH31" s="4"/>
      <c r="II31" s="4"/>
      <c r="IJ31" s="4"/>
      <c r="IK31" s="4"/>
      <c r="IL31" s="4"/>
      <c r="IM31" s="4"/>
      <c r="IN31" s="4"/>
      <c r="IO31" s="4"/>
      <c r="IP31" s="4"/>
      <c r="IQ31" s="4"/>
      <c r="IR31" s="4"/>
    </row>
    <row r="32" spans="1:256" s="21" customFormat="1" x14ac:dyDescent="0.25">
      <c r="A32" s="131" t="str">
        <f>IF('Project Info'!$D$24="","Coding1",CONCATENATE("Coding in ",'Project Info'!$D$24))</f>
        <v>Coding in HTML</v>
      </c>
      <c r="B32" s="168">
        <v>1</v>
      </c>
      <c r="C32" s="1"/>
      <c r="D32" s="1"/>
      <c r="E32" s="1"/>
      <c r="F32" s="1"/>
      <c r="G32" s="1"/>
      <c r="H32" s="1"/>
      <c r="I32" s="1"/>
      <c r="J32" s="1"/>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c r="IL32" s="4"/>
      <c r="IM32" s="4"/>
      <c r="IN32" s="4"/>
      <c r="IO32" s="4"/>
      <c r="IP32" s="4"/>
      <c r="IQ32" s="4"/>
      <c r="IR32" s="4"/>
    </row>
    <row r="33" spans="1:256" s="21" customFormat="1" x14ac:dyDescent="0.25">
      <c r="A33" s="131" t="str">
        <f>IF('Project Info'!$D$24="","Unit Testing1",CONCATENATE("Unit Testing in ",'Project Info'!$D$24))</f>
        <v>Unit Testing in HTML</v>
      </c>
      <c r="B33" s="168">
        <v>0.24</v>
      </c>
      <c r="C33" s="1"/>
      <c r="D33" s="1"/>
      <c r="E33" s="1"/>
      <c r="F33" s="1"/>
      <c r="G33" s="1"/>
      <c r="H33" s="1"/>
      <c r="I33" s="1"/>
      <c r="J33" s="1"/>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c r="GH33" s="4"/>
      <c r="GI33" s="4"/>
      <c r="GJ33" s="4"/>
      <c r="GK33" s="4"/>
      <c r="GL33" s="4"/>
      <c r="GM33" s="4"/>
      <c r="GN33" s="4"/>
      <c r="GO33" s="4"/>
      <c r="GP33" s="4"/>
      <c r="GQ33" s="4"/>
      <c r="GR33" s="4"/>
      <c r="GS33" s="4"/>
      <c r="GT33" s="4"/>
      <c r="GU33" s="4"/>
      <c r="GV33" s="4"/>
      <c r="GW33" s="4"/>
      <c r="GX33" s="4"/>
      <c r="GY33" s="4"/>
      <c r="GZ33" s="4"/>
      <c r="HA33" s="4"/>
      <c r="HB33" s="4"/>
      <c r="HC33" s="4"/>
      <c r="HD33" s="4"/>
      <c r="HE33" s="4"/>
      <c r="HF33" s="4"/>
      <c r="HG33" s="4"/>
      <c r="HH33" s="4"/>
      <c r="HI33" s="4"/>
      <c r="HJ33" s="4"/>
      <c r="HK33" s="4"/>
      <c r="HL33" s="4"/>
      <c r="HM33" s="4"/>
      <c r="HN33" s="4"/>
      <c r="HO33" s="4"/>
      <c r="HP33" s="4"/>
      <c r="HQ33" s="4"/>
      <c r="HR33" s="4"/>
      <c r="HS33" s="4"/>
      <c r="HT33" s="4"/>
      <c r="HU33" s="4"/>
      <c r="HV33" s="4"/>
      <c r="HW33" s="4"/>
      <c r="HX33" s="4"/>
      <c r="HY33" s="4"/>
      <c r="HZ33" s="4"/>
      <c r="IA33" s="4"/>
      <c r="IB33" s="4"/>
      <c r="IC33" s="4"/>
      <c r="ID33" s="4"/>
      <c r="IE33" s="4"/>
      <c r="IF33" s="4"/>
      <c r="IG33" s="4"/>
      <c r="IH33" s="4"/>
      <c r="II33" s="4"/>
      <c r="IJ33" s="4"/>
      <c r="IK33" s="4"/>
      <c r="IL33" s="4"/>
      <c r="IM33" s="4"/>
      <c r="IN33" s="4"/>
      <c r="IO33" s="4"/>
      <c r="IP33" s="4"/>
      <c r="IQ33" s="4"/>
      <c r="IR33" s="4"/>
    </row>
    <row r="34" spans="1:256" s="21" customFormat="1" x14ac:dyDescent="0.25">
      <c r="A34" s="131" t="str">
        <f>IF('Project Info'!$E$24="","Coding2",CONCATENATE("Coding in ",'Project Info'!$E$24))</f>
        <v>Coding in CSS</v>
      </c>
      <c r="B34" s="168">
        <v>3</v>
      </c>
      <c r="C34" s="1"/>
      <c r="D34" s="1"/>
      <c r="E34" s="1"/>
      <c r="F34" s="1"/>
      <c r="G34" s="1"/>
      <c r="H34" s="1"/>
      <c r="I34" s="1"/>
      <c r="J34" s="1"/>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c r="GH34" s="4"/>
      <c r="GI34" s="4"/>
      <c r="GJ34" s="4"/>
      <c r="GK34" s="4"/>
      <c r="GL34" s="4"/>
      <c r="GM34" s="4"/>
      <c r="GN34" s="4"/>
      <c r="GO34" s="4"/>
      <c r="GP34" s="4"/>
      <c r="GQ34" s="4"/>
      <c r="GR34" s="4"/>
      <c r="GS34" s="4"/>
      <c r="GT34" s="4"/>
      <c r="GU34" s="4"/>
      <c r="GV34" s="4"/>
      <c r="GW34" s="4"/>
      <c r="GX34" s="4"/>
      <c r="GY34" s="4"/>
      <c r="GZ34" s="4"/>
      <c r="HA34" s="4"/>
      <c r="HB34" s="4"/>
      <c r="HC34" s="4"/>
      <c r="HD34" s="4"/>
      <c r="HE34" s="4"/>
      <c r="HF34" s="4"/>
      <c r="HG34" s="4"/>
      <c r="HH34" s="4"/>
      <c r="HI34" s="4"/>
      <c r="HJ34" s="4"/>
      <c r="HK34" s="4"/>
      <c r="HL34" s="4"/>
      <c r="HM34" s="4"/>
      <c r="HN34" s="4"/>
      <c r="HO34" s="4"/>
      <c r="HP34" s="4"/>
      <c r="HQ34" s="4"/>
      <c r="HR34" s="4"/>
      <c r="HS34" s="4"/>
      <c r="HT34" s="4"/>
      <c r="HU34" s="4"/>
      <c r="HV34" s="4"/>
      <c r="HW34" s="4"/>
      <c r="HX34" s="4"/>
      <c r="HY34" s="4"/>
      <c r="HZ34" s="4"/>
      <c r="IA34" s="4"/>
      <c r="IB34" s="4"/>
      <c r="IC34" s="4"/>
      <c r="ID34" s="4"/>
      <c r="IE34" s="4"/>
      <c r="IF34" s="4"/>
      <c r="IG34" s="4"/>
      <c r="IH34" s="4"/>
      <c r="II34" s="4"/>
      <c r="IJ34" s="4"/>
      <c r="IK34" s="4"/>
      <c r="IL34" s="4"/>
      <c r="IM34" s="4"/>
      <c r="IN34" s="4"/>
      <c r="IO34" s="4"/>
      <c r="IP34" s="4"/>
      <c r="IQ34" s="4"/>
      <c r="IR34" s="4"/>
    </row>
    <row r="35" spans="1:256" s="21" customFormat="1" x14ac:dyDescent="0.25">
      <c r="A35" s="131" t="str">
        <f>IF('Project Info'!$E$24="","Unit Testing2",CONCATENATE("Unit Testing in ",'Project Info'!$E$24))</f>
        <v>Unit Testing in CSS</v>
      </c>
      <c r="B35" s="168">
        <v>0.28999999999999998</v>
      </c>
      <c r="C35" s="1"/>
      <c r="D35" s="1"/>
      <c r="E35" s="1"/>
      <c r="F35" s="1"/>
      <c r="G35" s="1"/>
      <c r="H35" s="1"/>
      <c r="I35" s="1"/>
      <c r="J35" s="1"/>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c r="GH35" s="4"/>
      <c r="GI35" s="4"/>
      <c r="GJ35" s="4"/>
      <c r="GK35" s="4"/>
      <c r="GL35" s="4"/>
      <c r="GM35" s="4"/>
      <c r="GN35" s="4"/>
      <c r="GO35" s="4"/>
      <c r="GP35" s="4"/>
      <c r="GQ35" s="4"/>
      <c r="GR35" s="4"/>
      <c r="GS35" s="4"/>
      <c r="GT35" s="4"/>
      <c r="GU35" s="4"/>
      <c r="GV35" s="4"/>
      <c r="GW35" s="4"/>
      <c r="GX35" s="4"/>
      <c r="GY35" s="4"/>
      <c r="GZ35" s="4"/>
      <c r="HA35" s="4"/>
      <c r="HB35" s="4"/>
      <c r="HC35" s="4"/>
      <c r="HD35" s="4"/>
      <c r="HE35" s="4"/>
      <c r="HF35" s="4"/>
      <c r="HG35" s="4"/>
      <c r="HH35" s="4"/>
      <c r="HI35" s="4"/>
      <c r="HJ35" s="4"/>
      <c r="HK35" s="4"/>
      <c r="HL35" s="4"/>
      <c r="HM35" s="4"/>
      <c r="HN35" s="4"/>
      <c r="HO35" s="4"/>
      <c r="HP35" s="4"/>
      <c r="HQ35" s="4"/>
      <c r="HR35" s="4"/>
      <c r="HS35" s="4"/>
      <c r="HT35" s="4"/>
      <c r="HU35" s="4"/>
      <c r="HV35" s="4"/>
      <c r="HW35" s="4"/>
      <c r="HX35" s="4"/>
      <c r="HY35" s="4"/>
      <c r="HZ35" s="4"/>
      <c r="IA35" s="4"/>
      <c r="IB35" s="4"/>
      <c r="IC35" s="4"/>
      <c r="ID35" s="4"/>
      <c r="IE35" s="4"/>
      <c r="IF35" s="4"/>
      <c r="IG35" s="4"/>
      <c r="IH35" s="4"/>
      <c r="II35" s="4"/>
      <c r="IJ35" s="4"/>
      <c r="IK35" s="4"/>
      <c r="IL35" s="4"/>
      <c r="IM35" s="4"/>
      <c r="IN35" s="4"/>
      <c r="IO35" s="4"/>
      <c r="IP35" s="4"/>
      <c r="IQ35" s="4"/>
      <c r="IR35" s="4"/>
    </row>
    <row r="36" spans="1:256" s="21" customFormat="1" x14ac:dyDescent="0.25">
      <c r="A36" s="131" t="str">
        <f>IF('Project Info'!$F$24="","Coding3",CONCATENATE("Coding in ",'Project Info'!$F$24))</f>
        <v>Coding in ANGULAR</v>
      </c>
      <c r="B36" s="168">
        <v>4</v>
      </c>
      <c r="C36" s="1"/>
      <c r="D36" s="1"/>
      <c r="E36" s="1"/>
      <c r="F36" s="1"/>
      <c r="G36" s="1"/>
      <c r="H36" s="1"/>
      <c r="I36" s="1"/>
      <c r="J36" s="1"/>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c r="GH36" s="4"/>
      <c r="GI36" s="4"/>
      <c r="GJ36" s="4"/>
      <c r="GK36" s="4"/>
      <c r="GL36" s="4"/>
      <c r="GM36" s="4"/>
      <c r="GN36" s="4"/>
      <c r="GO36" s="4"/>
      <c r="GP36" s="4"/>
      <c r="GQ36" s="4"/>
      <c r="GR36" s="4"/>
      <c r="GS36" s="4"/>
      <c r="GT36" s="4"/>
      <c r="GU36" s="4"/>
      <c r="GV36" s="4"/>
      <c r="GW36" s="4"/>
      <c r="GX36" s="4"/>
      <c r="GY36" s="4"/>
      <c r="GZ36" s="4"/>
      <c r="HA36" s="4"/>
      <c r="HB36" s="4"/>
      <c r="HC36" s="4"/>
      <c r="HD36" s="4"/>
      <c r="HE36" s="4"/>
      <c r="HF36" s="4"/>
      <c r="HG36" s="4"/>
      <c r="HH36" s="4"/>
      <c r="HI36" s="4"/>
      <c r="HJ36" s="4"/>
      <c r="HK36" s="4"/>
      <c r="HL36" s="4"/>
      <c r="HM36" s="4"/>
      <c r="HN36" s="4"/>
      <c r="HO36" s="4"/>
      <c r="HP36" s="4"/>
      <c r="HQ36" s="4"/>
      <c r="HR36" s="4"/>
      <c r="HS36" s="4"/>
      <c r="HT36" s="4"/>
      <c r="HU36" s="4"/>
      <c r="HV36" s="4"/>
      <c r="HW36" s="4"/>
      <c r="HX36" s="4"/>
      <c r="HY36" s="4"/>
      <c r="HZ36" s="4"/>
      <c r="IA36" s="4"/>
      <c r="IB36" s="4"/>
      <c r="IC36" s="4"/>
      <c r="ID36" s="4"/>
      <c r="IE36" s="4"/>
      <c r="IF36" s="4"/>
      <c r="IG36" s="4"/>
      <c r="IH36" s="4"/>
      <c r="II36" s="4"/>
      <c r="IJ36" s="4"/>
      <c r="IK36" s="4"/>
      <c r="IL36" s="4"/>
      <c r="IM36" s="4"/>
      <c r="IN36" s="4"/>
      <c r="IO36" s="4"/>
      <c r="IP36" s="4"/>
      <c r="IQ36" s="4"/>
      <c r="IR36" s="4"/>
    </row>
    <row r="37" spans="1:256" s="21" customFormat="1" ht="13.5" thickBot="1" x14ac:dyDescent="0.3">
      <c r="A37" s="137" t="str">
        <f>IF('Project Info'!$F$24="","Unit testing3",CONCATENATE("Unit Testing in ",'Project Info'!$F$24))</f>
        <v>Unit Testing in ANGULAR</v>
      </c>
      <c r="B37" s="168">
        <v>0.3</v>
      </c>
      <c r="C37" s="1"/>
      <c r="D37" s="1"/>
      <c r="E37" s="1"/>
      <c r="F37" s="1"/>
      <c r="G37" s="1"/>
      <c r="H37" s="1"/>
      <c r="I37" s="1"/>
      <c r="J37" s="1"/>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c r="GH37" s="4"/>
      <c r="GI37" s="4"/>
      <c r="GJ37" s="4"/>
      <c r="GK37" s="4"/>
      <c r="GL37" s="4"/>
      <c r="GM37" s="4"/>
      <c r="GN37" s="4"/>
      <c r="GO37" s="4"/>
      <c r="GP37" s="4"/>
      <c r="GQ37" s="4"/>
      <c r="GR37" s="4"/>
      <c r="GS37" s="4"/>
      <c r="GT37" s="4"/>
      <c r="GU37" s="4"/>
      <c r="GV37" s="4"/>
      <c r="GW37" s="4"/>
      <c r="GX37" s="4"/>
      <c r="GY37" s="4"/>
      <c r="GZ37" s="4"/>
      <c r="HA37" s="4"/>
      <c r="HB37" s="4"/>
      <c r="HC37" s="4"/>
      <c r="HD37" s="4"/>
      <c r="HE37" s="4"/>
      <c r="HF37" s="4"/>
      <c r="HG37" s="4"/>
      <c r="HH37" s="4"/>
      <c r="HI37" s="4"/>
      <c r="HJ37" s="4"/>
      <c r="HK37" s="4"/>
      <c r="HL37" s="4"/>
      <c r="HM37" s="4"/>
      <c r="HN37" s="4"/>
      <c r="HO37" s="4"/>
      <c r="HP37" s="4"/>
      <c r="HQ37" s="4"/>
      <c r="HR37" s="4"/>
      <c r="HS37" s="4"/>
      <c r="HT37" s="4"/>
      <c r="HU37" s="4"/>
      <c r="HV37" s="4"/>
      <c r="HW37" s="4"/>
      <c r="HX37" s="4"/>
      <c r="HY37" s="4"/>
      <c r="HZ37" s="4"/>
      <c r="IA37" s="4"/>
      <c r="IB37" s="4"/>
      <c r="IC37" s="4"/>
      <c r="ID37" s="4"/>
      <c r="IE37" s="4"/>
      <c r="IF37" s="4"/>
      <c r="IG37" s="4"/>
      <c r="IH37" s="4"/>
      <c r="II37" s="4"/>
      <c r="IJ37" s="4"/>
      <c r="IK37" s="4"/>
      <c r="IL37" s="4"/>
      <c r="IM37" s="4"/>
      <c r="IN37" s="4"/>
      <c r="IO37" s="4"/>
      <c r="IP37" s="4"/>
      <c r="IQ37" s="4"/>
      <c r="IR37" s="4"/>
    </row>
    <row r="38" spans="1:256" s="5" customFormat="1" ht="5.25" customHeight="1" thickBot="1" x14ac:dyDescent="0.3">
      <c r="A38" s="1"/>
      <c r="B38" s="1"/>
      <c r="C38" s="1"/>
      <c r="D38" s="1"/>
      <c r="E38" s="1"/>
      <c r="F38" s="1"/>
      <c r="G38" s="1"/>
      <c r="H38" s="1"/>
      <c r="I38" s="1"/>
      <c r="J38" s="1"/>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c r="GH38" s="4"/>
      <c r="GI38" s="4"/>
      <c r="GJ38" s="4"/>
      <c r="GK38" s="4"/>
      <c r="GL38" s="4"/>
      <c r="GM38" s="4"/>
      <c r="GN38" s="4"/>
      <c r="GO38" s="4"/>
      <c r="GP38" s="4"/>
      <c r="GQ38" s="4"/>
      <c r="GR38" s="4"/>
      <c r="GS38" s="4"/>
      <c r="GT38" s="4"/>
      <c r="GU38" s="4"/>
      <c r="GV38" s="4"/>
      <c r="GW38" s="4"/>
      <c r="GX38" s="4"/>
      <c r="GY38" s="4"/>
      <c r="GZ38" s="4"/>
      <c r="HA38" s="4"/>
      <c r="HB38" s="4"/>
      <c r="HC38" s="4"/>
      <c r="HD38" s="4"/>
      <c r="HE38" s="4"/>
      <c r="HF38" s="4"/>
      <c r="HG38" s="4"/>
      <c r="HH38" s="4"/>
      <c r="HI38" s="4"/>
      <c r="HJ38" s="4"/>
      <c r="HK38" s="4"/>
      <c r="HL38" s="4"/>
      <c r="HM38" s="4"/>
      <c r="HN38" s="4"/>
      <c r="HO38" s="4"/>
      <c r="HP38" s="4"/>
      <c r="HQ38" s="4"/>
      <c r="HR38" s="4"/>
      <c r="HS38" s="4"/>
      <c r="HT38" s="4"/>
      <c r="HU38" s="4"/>
      <c r="HV38" s="4"/>
      <c r="HW38" s="4"/>
      <c r="HX38" s="4"/>
      <c r="HY38" s="4"/>
      <c r="HZ38" s="4"/>
      <c r="IA38" s="4"/>
      <c r="IB38" s="4"/>
      <c r="IC38" s="4"/>
      <c r="ID38" s="4"/>
      <c r="IE38" s="4"/>
      <c r="IF38" s="4"/>
      <c r="IG38" s="4"/>
      <c r="IH38" s="4"/>
      <c r="II38" s="4"/>
      <c r="IJ38" s="4"/>
      <c r="IK38" s="4"/>
      <c r="IL38" s="4"/>
      <c r="IM38" s="4"/>
      <c r="IN38" s="4"/>
      <c r="IO38" s="4"/>
      <c r="IP38" s="4"/>
      <c r="IQ38" s="4"/>
      <c r="IR38" s="4"/>
      <c r="IS38" s="4"/>
      <c r="IT38" s="4"/>
      <c r="IU38" s="4"/>
      <c r="IV38" s="4"/>
    </row>
    <row r="39" spans="1:256" ht="19.5" customHeight="1" x14ac:dyDescent="0.25">
      <c r="A39" s="371" t="s">
        <v>25</v>
      </c>
      <c r="B39" s="372"/>
      <c r="C39" s="372"/>
      <c r="D39" s="373"/>
      <c r="E39" s="1"/>
      <c r="F39" s="1"/>
      <c r="G39" s="1"/>
      <c r="H39" s="1"/>
      <c r="I39" s="1"/>
      <c r="J39" s="1"/>
    </row>
    <row r="40" spans="1:256" s="1" customFormat="1" ht="17.25" customHeight="1" x14ac:dyDescent="0.25">
      <c r="A40" s="148"/>
      <c r="B40" s="82" t="s">
        <v>29</v>
      </c>
      <c r="C40" s="82" t="s">
        <v>12</v>
      </c>
      <c r="D40" s="149" t="s">
        <v>22</v>
      </c>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row>
    <row r="41" spans="1:256" s="1" customFormat="1" ht="19.5" customHeight="1" thickBot="1" x14ac:dyDescent="0.3">
      <c r="A41" s="150" t="s">
        <v>170</v>
      </c>
      <c r="B41" s="151">
        <f>IF('Project Info'!I5="","",'Project Info'!I5)</f>
        <v>10</v>
      </c>
      <c r="C41" s="151">
        <f>IF('Project Info'!J5="","",'Project Info'!J5)</f>
        <v>5</v>
      </c>
      <c r="D41" s="152">
        <f>IF('Project Info'!K5="","",'Project Info'!K5)</f>
        <v>15</v>
      </c>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c r="GH41" s="4"/>
      <c r="GI41" s="4"/>
      <c r="GJ41" s="4"/>
      <c r="GK41" s="4"/>
      <c r="GL41" s="4"/>
      <c r="GM41" s="4"/>
      <c r="GN41" s="4"/>
      <c r="GO41" s="4"/>
      <c r="GP41" s="4"/>
      <c r="GQ41" s="4"/>
      <c r="GR41" s="4"/>
      <c r="GS41" s="4"/>
      <c r="GT41" s="4"/>
      <c r="GU41" s="4"/>
      <c r="GV41" s="4"/>
      <c r="GW41" s="4"/>
      <c r="GX41" s="4"/>
      <c r="GY41" s="4"/>
      <c r="GZ41" s="4"/>
      <c r="HA41" s="4"/>
      <c r="HB41" s="4"/>
      <c r="HC41" s="4"/>
      <c r="HD41" s="4"/>
      <c r="HE41" s="4"/>
      <c r="HF41" s="4"/>
      <c r="HG41" s="4"/>
      <c r="HH41" s="4"/>
      <c r="HI41" s="4"/>
      <c r="HJ41" s="4"/>
      <c r="HK41" s="4"/>
      <c r="HL41" s="4"/>
      <c r="HM41" s="4"/>
      <c r="HN41" s="4"/>
      <c r="HO41" s="4"/>
      <c r="HP41" s="4"/>
      <c r="HQ41" s="4"/>
      <c r="HR41" s="4"/>
      <c r="HS41" s="4"/>
      <c r="HT41" s="4"/>
      <c r="HU41" s="4"/>
      <c r="HV41" s="4"/>
      <c r="HW41" s="4"/>
      <c r="HX41" s="4"/>
      <c r="HY41" s="4"/>
      <c r="HZ41" s="4"/>
      <c r="IA41" s="4"/>
      <c r="IB41" s="4"/>
      <c r="IC41" s="4"/>
      <c r="ID41" s="4"/>
      <c r="IE41" s="4"/>
      <c r="IF41" s="4"/>
      <c r="IG41" s="4"/>
      <c r="IH41" s="4"/>
      <c r="II41" s="4"/>
      <c r="IJ41" s="4"/>
      <c r="IK41" s="4"/>
      <c r="IL41" s="4"/>
      <c r="IM41" s="4"/>
      <c r="IN41" s="4"/>
      <c r="IO41" s="4"/>
      <c r="IP41" s="4"/>
      <c r="IQ41" s="4"/>
      <c r="IR41" s="4"/>
      <c r="IS41" s="4"/>
      <c r="IT41" s="4"/>
      <c r="IU41" s="4"/>
      <c r="IV41" s="4"/>
    </row>
    <row r="42" spans="1:256" s="5" customFormat="1" ht="5.25" customHeight="1" thickBot="1" x14ac:dyDescent="0.3">
      <c r="A42" s="41"/>
      <c r="B42" s="1"/>
      <c r="C42" s="1"/>
      <c r="D42" s="1"/>
      <c r="E42" s="1"/>
      <c r="F42" s="1"/>
      <c r="G42" s="1"/>
      <c r="H42" s="1"/>
      <c r="I42" s="1"/>
      <c r="J42" s="1"/>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c r="IS42" s="4"/>
      <c r="IT42" s="4"/>
      <c r="IU42" s="4"/>
      <c r="IV42" s="4"/>
    </row>
    <row r="43" spans="1:256" s="182" customFormat="1" ht="34.5" x14ac:dyDescent="0.25">
      <c r="A43" s="153" t="s">
        <v>113</v>
      </c>
      <c r="B43" s="124" t="s">
        <v>363</v>
      </c>
      <c r="C43" s="124" t="s">
        <v>84</v>
      </c>
      <c r="D43" s="124" t="s">
        <v>85</v>
      </c>
      <c r="E43" s="124" t="s">
        <v>23</v>
      </c>
      <c r="F43" s="180" t="s">
        <v>142</v>
      </c>
      <c r="G43" s="374" t="s">
        <v>46</v>
      </c>
      <c r="H43" s="375"/>
      <c r="I43" s="181"/>
      <c r="J43" s="181"/>
    </row>
    <row r="44" spans="1:256" ht="34.5" x14ac:dyDescent="0.25">
      <c r="A44" s="320" t="s">
        <v>403</v>
      </c>
      <c r="B44" s="135">
        <v>44041</v>
      </c>
      <c r="C44" s="135">
        <v>44038</v>
      </c>
      <c r="D44" s="98">
        <f>IF(C44="","",IF(ISERROR((C44-B44)/((B44-('Project Info'!$C$5)+1))),"",100*(C44-B44)/((B44-('Project Info'!$C$5)+1)) ))</f>
        <v>-13.636363636363637</v>
      </c>
      <c r="E44" s="127" t="str">
        <f>IF(D44="","",IF(C$41="","",IF(D$41="","", IF(D44&gt;D$41,"Hi",IF(D44&lt;C$41,"Lo","Ok")))))</f>
        <v>Lo</v>
      </c>
      <c r="F44" s="285"/>
      <c r="G44" s="369"/>
      <c r="H44" s="370"/>
      <c r="I44" s="1"/>
      <c r="J44" s="1"/>
    </row>
    <row r="45" spans="1:256" ht="34.5" x14ac:dyDescent="0.25">
      <c r="A45" s="320" t="s">
        <v>405</v>
      </c>
      <c r="B45" s="135">
        <v>44049</v>
      </c>
      <c r="C45" s="135">
        <v>44043</v>
      </c>
      <c r="D45" s="98">
        <f>IF(C45="","",IF(ISERROR((C45-B45)/((B45-('Project Info'!$C$5)+1))),"",100*(C45-B45)/((B45-('Project Info'!$C$5)+1)) ))</f>
        <v>-20</v>
      </c>
      <c r="E45" s="127" t="str">
        <f t="shared" ref="E45:E60" si="2">IF(D45="","",IF(C$41="","",IF(D$41="","", IF(D45&gt;D$41,"Hi",IF(D45&lt;C$41,"Lo","Ok")))))</f>
        <v>Lo</v>
      </c>
      <c r="F45" s="285"/>
      <c r="G45" s="369"/>
      <c r="H45" s="370"/>
      <c r="I45" s="52"/>
      <c r="J45" s="1"/>
    </row>
    <row r="46" spans="1:256" ht="23" x14ac:dyDescent="0.25">
      <c r="A46" s="320" t="s">
        <v>404</v>
      </c>
      <c r="B46" s="135">
        <v>44052</v>
      </c>
      <c r="C46" s="135">
        <v>44049</v>
      </c>
      <c r="D46" s="98">
        <f>IF(C46="","",IF(ISERROR((C46-B46)/((B46-('Project Info'!$C$5)+1))),"",100*(C46-B46)/((B46-('Project Info'!$C$5)+1)) ))</f>
        <v>-9.0909090909090917</v>
      </c>
      <c r="E46" s="127" t="str">
        <f t="shared" si="2"/>
        <v>Lo</v>
      </c>
      <c r="F46" s="285"/>
      <c r="G46" s="369"/>
      <c r="H46" s="370"/>
      <c r="I46" s="1"/>
      <c r="J46" s="1"/>
    </row>
    <row r="47" spans="1:256" ht="23" x14ac:dyDescent="0.25">
      <c r="A47" s="320" t="s">
        <v>406</v>
      </c>
      <c r="B47" s="135">
        <v>44059</v>
      </c>
      <c r="C47" s="135">
        <v>44063</v>
      </c>
      <c r="D47" s="98">
        <f>IF(C47="","",IF(ISERROR((C47-B47)/((B47-('Project Info'!$C$5)+1))),"",100*(C47-B47)/((B47-('Project Info'!$C$5)+1)) ))</f>
        <v>10</v>
      </c>
      <c r="E47" s="127" t="str">
        <f t="shared" si="2"/>
        <v>Ok</v>
      </c>
      <c r="F47" s="285"/>
      <c r="G47" s="369"/>
      <c r="H47" s="370"/>
      <c r="I47" s="1"/>
      <c r="J47" s="1"/>
    </row>
    <row r="48" spans="1:256" ht="23" x14ac:dyDescent="0.25">
      <c r="A48" s="320" t="s">
        <v>407</v>
      </c>
      <c r="B48" s="135">
        <v>44066</v>
      </c>
      <c r="C48" s="135">
        <v>44091</v>
      </c>
      <c r="D48" s="98">
        <f>IF(C48="","",IF(ISERROR((C48-B48)/((B48-('Project Info'!$C$5)+1))),"",100*(C48-B48)/((B48-('Project Info'!$C$5)+1)) ))</f>
        <v>53.191489361702125</v>
      </c>
      <c r="E48" s="127" t="str">
        <f t="shared" si="2"/>
        <v>Hi</v>
      </c>
      <c r="F48" s="285"/>
      <c r="G48" s="369"/>
      <c r="H48" s="370"/>
      <c r="I48" s="1"/>
      <c r="J48" s="1"/>
    </row>
    <row r="49" spans="1:10" ht="23" x14ac:dyDescent="0.25">
      <c r="A49" s="320" t="s">
        <v>408</v>
      </c>
      <c r="B49" s="135">
        <v>44091</v>
      </c>
      <c r="C49" s="135">
        <v>44099</v>
      </c>
      <c r="D49" s="98">
        <f>IF(C49="","",IF(ISERROR((C49-B49)/((B49-('Project Info'!$C$5)+1))),"",100*(C49-B49)/((B49-('Project Info'!$C$5)+1)) ))</f>
        <v>11.111111111111111</v>
      </c>
      <c r="E49" s="127" t="str">
        <f t="shared" si="2"/>
        <v>Ok</v>
      </c>
      <c r="F49" s="285"/>
      <c r="G49" s="369"/>
      <c r="H49" s="370"/>
      <c r="I49" s="1"/>
      <c r="J49" s="1"/>
    </row>
    <row r="50" spans="1:10" ht="23" x14ac:dyDescent="0.25">
      <c r="A50" s="320" t="s">
        <v>409</v>
      </c>
      <c r="B50" s="135">
        <v>44101</v>
      </c>
      <c r="C50" s="135"/>
      <c r="D50" s="98" t="str">
        <f>IF(C50="","",IF(ISERROR((C50-B50)/((B50-('Project Info'!$C$5)+1))),"",100*(C50-B50)/((B50-('Project Info'!$C$5)+1)) ))</f>
        <v/>
      </c>
      <c r="E50" s="127" t="str">
        <f>IF(D50="","",IF(C$41="","",IF(D$41="","", IF(D50&gt;D$41,"Hi",IF(D50&lt;C$41,"Lo","Ok")))))</f>
        <v/>
      </c>
      <c r="F50" s="285"/>
      <c r="G50" s="369"/>
      <c r="H50" s="370"/>
      <c r="I50" s="1"/>
      <c r="J50" s="1"/>
    </row>
    <row r="51" spans="1:10" x14ac:dyDescent="0.25">
      <c r="A51" s="320" t="s">
        <v>206</v>
      </c>
      <c r="B51" s="135"/>
      <c r="C51" s="135"/>
      <c r="D51" s="98" t="str">
        <f>IF(C51="","",IF(ISERROR((C51-B51)/((B51-('Project Info'!$C$5)+1))),"",100*(C51-B51)/((B51-('Project Info'!$C$5)+1)) ))</f>
        <v/>
      </c>
      <c r="E51" s="127" t="str">
        <f>IF(D51="","",IF(C$41="","",IF(D$41="","", IF(D51&gt;D$41,"Hi",IF(D51&lt;C$41,"Lo","Ok")))))</f>
        <v/>
      </c>
      <c r="F51" s="285"/>
      <c r="G51" s="369"/>
      <c r="H51" s="370"/>
      <c r="I51" s="1"/>
      <c r="J51" s="1"/>
    </row>
    <row r="52" spans="1:10" x14ac:dyDescent="0.25">
      <c r="A52" s="320" t="s">
        <v>350</v>
      </c>
      <c r="B52" s="135"/>
      <c r="C52" s="135"/>
      <c r="D52" s="98" t="str">
        <f>IF(C52="","",IF(ISERROR((C52-B52)/((B52-('Project Info'!$C$5)+1))),"",100*(C52-B52)/((B52-('Project Info'!$C$5)+1)) ))</f>
        <v/>
      </c>
      <c r="E52" s="127" t="str">
        <f t="shared" si="2"/>
        <v/>
      </c>
      <c r="F52" s="285"/>
      <c r="G52" s="369"/>
      <c r="H52" s="370"/>
      <c r="I52" s="1"/>
      <c r="J52" s="1"/>
    </row>
    <row r="53" spans="1:10" x14ac:dyDescent="0.25">
      <c r="A53" s="320" t="s">
        <v>351</v>
      </c>
      <c r="B53" s="135"/>
      <c r="C53" s="135"/>
      <c r="D53" s="98" t="str">
        <f>IF(C53="","",IF(ISERROR((C53-B53)/((B53-('Project Info'!$C$5)+1))),"",100*(C53-B53)/((B53-('Project Info'!$C$5)+1)) ))</f>
        <v/>
      </c>
      <c r="E53" s="127" t="str">
        <f t="shared" si="2"/>
        <v/>
      </c>
      <c r="F53" s="285"/>
      <c r="G53" s="369"/>
      <c r="H53" s="370"/>
      <c r="I53" s="1"/>
      <c r="J53" s="1"/>
    </row>
    <row r="54" spans="1:10" x14ac:dyDescent="0.25">
      <c r="A54" s="320" t="s">
        <v>352</v>
      </c>
      <c r="B54" s="135"/>
      <c r="C54" s="135"/>
      <c r="D54" s="98" t="str">
        <f>IF(C54="","",IF(ISERROR((C54-B54)/((B54-('Project Info'!$C$5)+1))),"",100*(C54-B54)/((B54-('Project Info'!$C$5)+1)) ))</f>
        <v/>
      </c>
      <c r="E54" s="127" t="str">
        <f t="shared" si="2"/>
        <v/>
      </c>
      <c r="F54" s="285"/>
      <c r="G54" s="369"/>
      <c r="H54" s="370"/>
      <c r="I54" s="1"/>
      <c r="J54" s="1"/>
    </row>
    <row r="55" spans="1:10" x14ac:dyDescent="0.25">
      <c r="A55" s="320" t="s">
        <v>353</v>
      </c>
      <c r="B55" s="135"/>
      <c r="C55" s="135"/>
      <c r="D55" s="98" t="str">
        <f>IF(C55="","",IF(ISERROR((C55-B55)/((B55-('Project Info'!$C$5)+1))),"",100*(C55-B55)/((B55-('Project Info'!$C$5)+1)) ))</f>
        <v/>
      </c>
      <c r="E55" s="127" t="str">
        <f t="shared" si="2"/>
        <v/>
      </c>
      <c r="F55" s="285"/>
      <c r="G55" s="369"/>
      <c r="H55" s="370"/>
      <c r="I55" s="1"/>
      <c r="J55" s="1"/>
    </row>
    <row r="56" spans="1:10" x14ac:dyDescent="0.25">
      <c r="A56" s="320" t="s">
        <v>354</v>
      </c>
      <c r="B56" s="135"/>
      <c r="C56" s="135"/>
      <c r="D56" s="98" t="str">
        <f>IF(C56="","",IF(ISERROR((C56-B56)/((B56-('Project Info'!$C$5)+1))),"",100*(C56-B56)/((B56-('Project Info'!$C$5)+1)) ))</f>
        <v/>
      </c>
      <c r="E56" s="127" t="str">
        <f t="shared" si="2"/>
        <v/>
      </c>
      <c r="F56" s="285"/>
      <c r="G56" s="369"/>
      <c r="H56" s="370"/>
      <c r="I56" s="1"/>
      <c r="J56" s="1"/>
    </row>
    <row r="57" spans="1:10" x14ac:dyDescent="0.25">
      <c r="A57" s="320" t="s">
        <v>355</v>
      </c>
      <c r="B57" s="135"/>
      <c r="C57" s="135"/>
      <c r="D57" s="98" t="str">
        <f>IF(C57="","",IF(ISERROR((C57-B57)/((B57-('Project Info'!$C$5)+1))),"",100*(C57-B57)/((B57-('Project Info'!$C$5)+1)) ))</f>
        <v/>
      </c>
      <c r="E57" s="127" t="str">
        <f t="shared" si="2"/>
        <v/>
      </c>
      <c r="F57" s="285"/>
      <c r="G57" s="369"/>
      <c r="H57" s="370"/>
      <c r="I57" s="1"/>
      <c r="J57" s="1"/>
    </row>
    <row r="58" spans="1:10" x14ac:dyDescent="0.25">
      <c r="A58" s="320" t="s">
        <v>356</v>
      </c>
      <c r="B58" s="135"/>
      <c r="C58" s="135"/>
      <c r="D58" s="98" t="str">
        <f>IF(C58="","",IF(ISERROR((C58-B58)/((B58-('Project Info'!$C$5)+1))),"",100*(C58-B58)/((B58-('Project Info'!$C$5)+1)) ))</f>
        <v/>
      </c>
      <c r="E58" s="127" t="str">
        <f t="shared" si="2"/>
        <v/>
      </c>
      <c r="F58" s="285"/>
      <c r="G58" s="369"/>
      <c r="H58" s="370"/>
      <c r="I58" s="1"/>
      <c r="J58" s="1"/>
    </row>
    <row r="59" spans="1:10" x14ac:dyDescent="0.25">
      <c r="A59" s="320" t="s">
        <v>357</v>
      </c>
      <c r="B59" s="135"/>
      <c r="C59" s="135"/>
      <c r="D59" s="98" t="str">
        <f>IF(C59="","",IF(ISERROR((C59-B59)/((B59-('Project Info'!$C$5)+1))),"",100*(C59-B59)/((B59-('Project Info'!$C$5)+1)) ))</f>
        <v/>
      </c>
      <c r="E59" s="127" t="str">
        <f t="shared" si="2"/>
        <v/>
      </c>
      <c r="F59" s="285"/>
      <c r="G59" s="369"/>
      <c r="H59" s="370"/>
      <c r="I59" s="1"/>
      <c r="J59" s="1"/>
    </row>
    <row r="60" spans="1:10" ht="13.5" thickBot="1" x14ac:dyDescent="0.3">
      <c r="A60" s="321" t="s">
        <v>358</v>
      </c>
      <c r="B60" s="135"/>
      <c r="C60" s="135"/>
      <c r="D60" s="179" t="str">
        <f>IF(C60="","",IF(ISERROR((C60-B60)/((B60-('Project Info'!$C$5)+1))),"",100*(C60-B60)/((B60-('Project Info'!$C$5)+1)) ))</f>
        <v/>
      </c>
      <c r="E60" s="161" t="str">
        <f t="shared" si="2"/>
        <v/>
      </c>
      <c r="F60" s="287"/>
      <c r="G60" s="376"/>
      <c r="H60" s="377"/>
      <c r="I60" s="1"/>
      <c r="J60" s="1"/>
    </row>
    <row r="61" spans="1:10" x14ac:dyDescent="0.25">
      <c r="A61" s="1"/>
      <c r="B61" s="1"/>
      <c r="C61" s="1"/>
      <c r="D61" s="1"/>
      <c r="E61" s="1"/>
      <c r="F61" s="1"/>
      <c r="G61" s="1"/>
      <c r="H61" s="1"/>
      <c r="I61" s="1"/>
      <c r="J61" s="1"/>
    </row>
    <row r="62" spans="1:10" x14ac:dyDescent="0.25">
      <c r="A62" s="1"/>
      <c r="B62" s="1"/>
      <c r="C62" s="1"/>
      <c r="D62" s="1"/>
      <c r="E62" s="1"/>
      <c r="F62" s="1"/>
      <c r="G62" s="1"/>
      <c r="H62" s="1"/>
      <c r="I62" s="1"/>
      <c r="J62" s="1"/>
    </row>
    <row r="63" spans="1:10" x14ac:dyDescent="0.25">
      <c r="A63" s="1"/>
      <c r="B63" s="1"/>
      <c r="C63" s="1"/>
      <c r="D63" s="1"/>
      <c r="E63" s="1"/>
      <c r="F63" s="1"/>
      <c r="G63" s="1"/>
      <c r="H63" s="1"/>
      <c r="I63" s="1"/>
      <c r="J63" s="1"/>
    </row>
    <row r="64" spans="1:10" x14ac:dyDescent="0.25">
      <c r="A64" s="1"/>
      <c r="B64" s="1"/>
      <c r="C64" s="1"/>
      <c r="D64" s="1"/>
      <c r="E64" s="1"/>
      <c r="F64" s="1"/>
      <c r="G64" s="1"/>
      <c r="H64" s="1"/>
      <c r="I64" s="1"/>
      <c r="J64" s="1"/>
    </row>
  </sheetData>
  <sheetProtection sheet="1" objects="1" scenarios="1"/>
  <customSheetViews>
    <customSheetView guid="{D77630C3-E566-49F3-BD2C-D3992F8DF201}" scale="90" showPageBreaks="1" printArea="1" showRuler="0" topLeftCell="A31">
      <selection activeCell="F43" sqref="F43"/>
      <rowBreaks count="1" manualBreakCount="1">
        <brk id="60" max="7" man="1"/>
      </rowBreaks>
      <colBreaks count="2" manualBreakCount="2">
        <brk id="10" max="1048575" man="1"/>
        <brk id="48" max="62" man="1"/>
      </colBreaks>
      <pageMargins left="0.2" right="0.24" top="0.28000000000000003" bottom="0.27" header="0.2" footer="0.21"/>
      <printOptions headings="1"/>
      <pageSetup paperSize="9" scale="81" orientation="portrait" r:id="rId1"/>
      <headerFooter alignWithMargins="0">
        <oddHeader>&amp;C&amp;"Arial,Bold"MAP</oddHeader>
        <oddFooter>&amp;L&amp;"Times New Roman,Regular"PM-04-01
Ver 3.0/ 25-Sep-03&amp;C&amp;9© L&amp;&amp;T Infotech
For Internal Use Only&amp;R&amp;9&amp;P of &amp;N</oddFooter>
      </headerFooter>
    </customSheetView>
    <customSheetView guid="{99472ED2-59D2-11D7-A477-0010B5BCD3CB}" showRuler="0" topLeftCell="A25">
      <selection activeCell="C29" sqref="C29"/>
      <rowBreaks count="1" manualBreakCount="1">
        <brk id="26" max="16383" man="1"/>
      </rowBreaks>
      <pageMargins left="0.27" right="0.75" top="1" bottom="1" header="0.5" footer="0.5"/>
      <pageSetup paperSize="9" orientation="landscape" r:id="rId2"/>
      <headerFooter alignWithMargins="0">
        <oddHeader>&amp;L&amp;"Times New Roman,Regular"MX011T/2.6/09.07.2002&amp;C&amp;"Times New Roman,Bold"MAP</oddHeader>
        <oddFooter>&amp;L&amp;"Times New Roman,Regular"L&amp;&amp;T Infotech&amp;C&amp;"Times New Roman,Regular"&amp;F&amp;R&amp;"Times New Roman,Regular"&amp;P of &amp;N</oddFooter>
      </headerFooter>
    </customSheetView>
  </customSheetViews>
  <mergeCells count="23">
    <mergeCell ref="G58:H58"/>
    <mergeCell ref="G59:H59"/>
    <mergeCell ref="G60:H60"/>
    <mergeCell ref="G50:H50"/>
    <mergeCell ref="G57:H57"/>
    <mergeCell ref="G53:H53"/>
    <mergeCell ref="G54:H54"/>
    <mergeCell ref="G55:H55"/>
    <mergeCell ref="G56:H56"/>
    <mergeCell ref="G52:H52"/>
    <mergeCell ref="G51:H51"/>
    <mergeCell ref="E27:G27"/>
    <mergeCell ref="E28:G28"/>
    <mergeCell ref="E21:H21"/>
    <mergeCell ref="G49:H49"/>
    <mergeCell ref="A30:B30"/>
    <mergeCell ref="A39:D39"/>
    <mergeCell ref="G43:H43"/>
    <mergeCell ref="G48:H48"/>
    <mergeCell ref="G44:H44"/>
    <mergeCell ref="G45:H45"/>
    <mergeCell ref="G46:H46"/>
    <mergeCell ref="G47:H47"/>
  </mergeCells>
  <phoneticPr fontId="0" type="noConversion"/>
  <conditionalFormatting sqref="B4:D4 B41:D42">
    <cfRule type="cellIs" dxfId="12" priority="1" stopIfTrue="1" operator="equal">
      <formula>"Hi"</formula>
    </cfRule>
    <cfRule type="cellIs" dxfId="11" priority="2" stopIfTrue="1" operator="equal">
      <formula>"Lo"</formula>
    </cfRule>
  </conditionalFormatting>
  <conditionalFormatting sqref="F19:F20 F7:F17 E44:E60">
    <cfRule type="cellIs" dxfId="10" priority="3" stopIfTrue="1" operator="equal">
      <formula>"Hi"</formula>
    </cfRule>
    <cfRule type="cellIs" dxfId="9" priority="4" stopIfTrue="1" operator="equal">
      <formula>"Lo"</formula>
    </cfRule>
  </conditionalFormatting>
  <dataValidations xWindow="328" yWindow="582" count="13">
    <dataValidation type="whole" allowBlank="1" showInputMessage="1" showErrorMessage="1" sqref="G7:G17" xr:uid="{00000000-0002-0000-0100-000000000000}">
      <formula1>1</formula1>
      <formula2>500</formula2>
    </dataValidation>
    <dataValidation type="decimal" allowBlank="1" showInputMessage="1" showErrorMessage="1" error="Enter Person Days only, in multiples of 0.5 Man Days" prompt="Efforts for this phase from Estimates" sqref="B20:D20" xr:uid="{00000000-0002-0000-0100-000001000000}">
      <formula1>0.25</formula1>
      <formula2>10000</formula2>
    </dataValidation>
    <dataValidation operator="greaterThan" allowBlank="1" showInputMessage="1" showErrorMessage="1" sqref="F25" xr:uid="{00000000-0002-0000-0100-000003000000}"/>
    <dataValidation type="decimal" operator="greaterThanOrEqual" allowBlank="1" showInputMessage="1" showErrorMessage="1" sqref="F22:F24 H27:H28" xr:uid="{00000000-0002-0000-0100-000004000000}">
      <formula1>0</formula1>
    </dataValidation>
    <dataValidation type="decimal" allowBlank="1" showInputMessage="1" showErrorMessage="1" error="Enter Person Days only, in multiples of 0.5 Man Days" prompt="Total Actual Efforts for completed activities" sqref="D19" xr:uid="{00000000-0002-0000-0100-000005000000}">
      <formula1>0</formula1>
      <formula2>10000</formula2>
    </dataValidation>
    <dataValidation type="decimal" operator="greaterThanOrEqual" allowBlank="1" showInputMessage="1" showErrorMessage="1" error="Enter Person Days only." prompt="Actual Efforts for this phase" sqref="C28 C22:C26 D7:D18" xr:uid="{00000000-0002-0000-0100-000006000000}">
      <formula1>0</formula1>
    </dataValidation>
    <dataValidation type="decimal" operator="greaterThanOrEqual" allowBlank="1" showInputMessage="1" showErrorMessage="1" error="Enter Person Days only" prompt="Efforts for this phase from Estimates" sqref="B32:B37 B7:C18" xr:uid="{00000000-0002-0000-0100-000008000000}">
      <formula1>0</formula1>
    </dataValidation>
    <dataValidation type="decimal" allowBlank="1" showInputMessage="1" showErrorMessage="1" error="Enter Person Days only." prompt="Efforts for this phase from Estimates" sqref="B22:B26 B28" xr:uid="{00000000-0002-0000-0100-000009000000}">
      <formula1>0</formula1>
      <formula2>10000</formula2>
    </dataValidation>
    <dataValidation type="decimal" allowBlank="1" showInputMessage="1" showErrorMessage="1" error="Enter Person Days only, in multiples of 0.5 Man Days" prompt="Toatal Project Efforts" sqref="B27:C27" xr:uid="{00000000-0002-0000-0100-00000A000000}">
      <formula1>0</formula1>
      <formula2>10000</formula2>
    </dataValidation>
    <dataValidation type="whole" allowBlank="1" showInputMessage="1" showErrorMessage="1" sqref="F44:F60" xr:uid="{00000000-0002-0000-0100-00000B000000}">
      <formula1>0</formula1>
      <formula2>500</formula2>
    </dataValidation>
    <dataValidation type="decimal" allowBlank="1" showInputMessage="1" showErrorMessage="1" error="Enter Person Days only, in multiples of 0.5 Man Days" prompt="Toatal Efforts  from Estimates" sqref="B19" xr:uid="{00000000-0002-0000-0100-00000C000000}">
      <formula1>0</formula1>
      <formula2>10000</formula2>
    </dataValidation>
    <dataValidation type="decimal" allowBlank="1" showInputMessage="1" showErrorMessage="1" error="Enter Person Days only, in multiples of 0.5 Man Days" prompt="Total Planned Efforts for completed activities" sqref="C19" xr:uid="{00000000-0002-0000-0100-00000D000000}">
      <formula1>0</formula1>
      <formula2>10000</formula2>
    </dataValidation>
    <dataValidation type="date" operator="greaterThan" allowBlank="1" showInputMessage="1" showErrorMessage="1" sqref="B44:C60" xr:uid="{4817A6D3-3D84-4621-A660-204E997AC813}">
      <formula1>XFC44</formula1>
    </dataValidation>
  </dataValidations>
  <hyperlinks>
    <hyperlink ref="G6" location="'Causal analysis'!A1" display="'Causal analysis'!A1" xr:uid="{00000000-0004-0000-0100-000000000000}"/>
    <hyperlink ref="F43" location="'Causal analysis'!A1" display="'Causal analysis'!A1" xr:uid="{00000000-0004-0000-0100-000001000000}"/>
  </hyperlinks>
  <printOptions horizontalCentered="1"/>
  <pageMargins left="0.2" right="0.24" top="0.53" bottom="0.52" header="0.2" footer="0.21"/>
  <pageSetup paperSize="9" scale="79" orientation="portrait" r:id="rId3"/>
  <headerFooter alignWithMargins="0">
    <oddHeader>&amp;C&amp;"Arial,Bold"&amp;9Metrics Action Plan</oddHeader>
    <oddFooter>&amp;L&amp;8PM-04-01
Ver 4.01/ 29-Sep-04&amp;C&amp;"Arial,Bold"&amp;9© L&amp;&amp;T Infotech Internal Use&amp;R&amp;9&amp;P of &amp;N</oddFooter>
  </headerFooter>
  <rowBreaks count="2" manualBreakCount="2">
    <brk id="38" max="7" man="1"/>
    <brk id="60" max="7" man="1"/>
  </rowBreaks>
  <colBreaks count="2" manualBreakCount="2">
    <brk id="10" max="1048575" man="1"/>
    <brk id="48" max="62" man="1"/>
  </colBreaks>
  <drawing r:id="rId4"/>
  <legacyDrawing r:id="rId5"/>
  <mc:AlternateContent xmlns:mc="http://schemas.openxmlformats.org/markup-compatibility/2006">
    <mc:Choice Requires="x14">
      <controls>
        <mc:AlternateContent xmlns:mc="http://schemas.openxmlformats.org/markup-compatibility/2006">
          <mc:Choice Requires="x14">
            <control shapeId="4190" r:id="rId6" name="Button 94">
              <controlPr defaultSize="0" print="0" autoFill="0" autoPict="0" macro="[0]!AddDataPoint">
                <anchor moveWithCells="1" sizeWithCells="1">
                  <from>
                    <xdr:col>4</xdr:col>
                    <xdr:colOff>76200</xdr:colOff>
                    <xdr:row>1</xdr:row>
                    <xdr:rowOff>120650</xdr:rowOff>
                  </from>
                  <to>
                    <xdr:col>6</xdr:col>
                    <xdr:colOff>419100</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P66"/>
  <sheetViews>
    <sheetView showGridLines="0" tabSelected="1" topLeftCell="A28" zoomScaleNormal="100" zoomScaleSheetLayoutView="75" workbookViewId="0">
      <selection activeCell="L53" sqref="L53"/>
    </sheetView>
  </sheetViews>
  <sheetFormatPr defaultColWidth="9.08984375" defaultRowHeight="12.5" x14ac:dyDescent="0.25"/>
  <cols>
    <col min="1" max="1" width="13.36328125" style="9" customWidth="1"/>
    <col min="2" max="2" width="8.6328125" style="9" customWidth="1"/>
    <col min="3" max="3" width="8.90625" style="9" customWidth="1"/>
    <col min="4" max="4" width="8.6328125" style="9" customWidth="1"/>
    <col min="5" max="5" width="9.453125" style="9" bestFit="1" customWidth="1"/>
    <col min="6" max="6" width="11.36328125" style="9" customWidth="1"/>
    <col min="7" max="7" width="10" style="9" customWidth="1"/>
    <col min="8" max="8" width="8.6328125" style="9" customWidth="1"/>
    <col min="9" max="9" width="8" style="9" customWidth="1"/>
    <col min="10" max="10" width="9.54296875" style="9" bestFit="1" customWidth="1"/>
    <col min="11" max="11" width="9.6328125" style="9" customWidth="1"/>
    <col min="12" max="12" width="8.54296875" style="9" customWidth="1"/>
    <col min="13" max="13" width="10.08984375" style="9" customWidth="1"/>
    <col min="14" max="14" width="8.6328125" style="9" customWidth="1"/>
    <col min="15" max="15" width="9.453125" style="9" customWidth="1"/>
    <col min="16" max="16" width="10.36328125" style="7" customWidth="1"/>
    <col min="17" max="16384" width="9.08984375" style="9"/>
  </cols>
  <sheetData>
    <row r="1" spans="1:16" ht="5.25" customHeight="1" thickBot="1" x14ac:dyDescent="0.3">
      <c r="A1" s="7"/>
      <c r="B1" s="7"/>
      <c r="C1" s="7"/>
      <c r="D1" s="7"/>
      <c r="E1" s="7"/>
      <c r="F1" s="7"/>
      <c r="G1" s="7"/>
      <c r="H1" s="7"/>
      <c r="I1" s="7"/>
      <c r="J1" s="7"/>
      <c r="K1" s="7"/>
      <c r="L1" s="7"/>
      <c r="M1" s="7"/>
      <c r="N1" s="7"/>
      <c r="O1" s="7"/>
      <c r="P1" s="18"/>
    </row>
    <row r="2" spans="1:16" ht="27.75" customHeight="1" x14ac:dyDescent="0.25">
      <c r="A2" s="18"/>
      <c r="B2" s="389" t="s">
        <v>160</v>
      </c>
      <c r="C2" s="390"/>
      <c r="D2" s="391"/>
      <c r="E2" s="7"/>
      <c r="F2" s="392" t="s">
        <v>177</v>
      </c>
      <c r="G2" s="393"/>
      <c r="H2" s="393"/>
      <c r="I2" s="393"/>
      <c r="J2" s="394"/>
      <c r="K2" s="7"/>
      <c r="L2" s="18"/>
      <c r="M2" s="18"/>
      <c r="N2" s="18"/>
      <c r="O2" s="7"/>
    </row>
    <row r="3" spans="1:16" ht="15" customHeight="1" x14ac:dyDescent="0.25">
      <c r="A3" s="18"/>
      <c r="B3" s="217" t="s">
        <v>29</v>
      </c>
      <c r="C3" s="88" t="s">
        <v>12</v>
      </c>
      <c r="D3" s="218" t="s">
        <v>22</v>
      </c>
      <c r="E3" s="7"/>
      <c r="F3" s="217" t="s">
        <v>175</v>
      </c>
      <c r="G3" s="88" t="s">
        <v>109</v>
      </c>
      <c r="H3" s="88" t="s">
        <v>1</v>
      </c>
      <c r="I3" s="88" t="s">
        <v>110</v>
      </c>
      <c r="J3" s="149" t="s">
        <v>2</v>
      </c>
      <c r="K3" s="68"/>
      <c r="L3" s="18"/>
      <c r="M3" s="18"/>
      <c r="N3" s="18"/>
      <c r="O3" s="7"/>
    </row>
    <row r="4" spans="1:16" s="19" customFormat="1" ht="37.75" customHeight="1" thickBot="1" x14ac:dyDescent="0.3">
      <c r="A4" s="18"/>
      <c r="B4" s="219">
        <f>IF('Project Info'!I10="","",'Project Info'!I10*'Project Info'!$D$21)</f>
        <v>14750</v>
      </c>
      <c r="C4" s="220">
        <f>IF('Project Info'!J10="","",'Project Info'!J10*'Project Info'!$D$21)</f>
        <v>7375</v>
      </c>
      <c r="D4" s="221">
        <f>IF('Project Info'!K10="","",'Project Info'!K10*'Project Info'!$D$21)</f>
        <v>22125</v>
      </c>
      <c r="E4" s="18"/>
      <c r="F4" s="222">
        <v>15</v>
      </c>
      <c r="G4" s="223">
        <v>15</v>
      </c>
      <c r="H4" s="223">
        <v>30</v>
      </c>
      <c r="I4" s="223">
        <v>30</v>
      </c>
      <c r="J4" s="224">
        <f>SUM(F4:I4)</f>
        <v>90</v>
      </c>
      <c r="K4" s="18" t="s">
        <v>410</v>
      </c>
      <c r="L4" s="18"/>
      <c r="M4" s="18"/>
      <c r="N4" s="18"/>
      <c r="O4" s="18"/>
      <c r="P4" s="18"/>
    </row>
    <row r="5" spans="1:16" ht="4.5" customHeight="1" thickBot="1" x14ac:dyDescent="0.3">
      <c r="A5" s="8"/>
      <c r="B5" s="7"/>
      <c r="C5" s="7"/>
      <c r="D5" s="7"/>
      <c r="E5" s="7"/>
      <c r="F5" s="7"/>
      <c r="G5" s="7"/>
      <c r="H5" s="7"/>
      <c r="I5" s="7"/>
      <c r="J5" s="7"/>
      <c r="K5" s="7"/>
      <c r="L5" s="7"/>
      <c r="M5" s="7"/>
      <c r="N5" s="7"/>
      <c r="O5" s="7"/>
      <c r="P5" s="18"/>
    </row>
    <row r="6" spans="1:16" ht="18.75" customHeight="1" x14ac:dyDescent="0.25">
      <c r="A6" s="383" t="s">
        <v>379</v>
      </c>
      <c r="B6" s="384"/>
      <c r="C6" s="384"/>
      <c r="D6" s="384"/>
      <c r="E6" s="384"/>
      <c r="F6" s="384"/>
      <c r="G6" s="384"/>
      <c r="H6" s="395"/>
      <c r="I6" s="384" t="s">
        <v>176</v>
      </c>
      <c r="J6" s="384"/>
      <c r="K6" s="384"/>
      <c r="L6" s="384"/>
      <c r="M6" s="384"/>
      <c r="N6" s="384"/>
      <c r="O6" s="385"/>
      <c r="P6" s="18"/>
    </row>
    <row r="7" spans="1:16" s="19" customFormat="1" ht="16.5" customHeight="1" x14ac:dyDescent="0.25">
      <c r="A7" s="209"/>
      <c r="B7" s="396" t="s">
        <v>364</v>
      </c>
      <c r="C7" s="397"/>
      <c r="D7" s="397"/>
      <c r="E7" s="397"/>
      <c r="F7" s="397"/>
      <c r="G7" s="397"/>
      <c r="H7" s="398"/>
      <c r="I7" s="401"/>
      <c r="J7" s="402"/>
      <c r="K7" s="402"/>
      <c r="L7" s="402"/>
      <c r="M7" s="402"/>
      <c r="N7" s="402"/>
      <c r="O7" s="403"/>
      <c r="P7" s="18"/>
    </row>
    <row r="8" spans="1:16" s="19" customFormat="1" ht="27" customHeight="1" x14ac:dyDescent="0.25">
      <c r="A8" s="210" t="s">
        <v>146</v>
      </c>
      <c r="B8" s="82" t="s">
        <v>108</v>
      </c>
      <c r="C8" s="82" t="s">
        <v>122</v>
      </c>
      <c r="D8" s="82" t="s">
        <v>123</v>
      </c>
      <c r="E8" s="82" t="s">
        <v>124</v>
      </c>
      <c r="F8" s="82" t="s">
        <v>129</v>
      </c>
      <c r="G8" s="82" t="s">
        <v>1</v>
      </c>
      <c r="H8" s="184" t="s">
        <v>2</v>
      </c>
      <c r="I8" s="126" t="s">
        <v>147</v>
      </c>
      <c r="J8" s="126" t="s">
        <v>65</v>
      </c>
      <c r="K8" s="126" t="s">
        <v>26</v>
      </c>
      <c r="L8" s="126" t="s">
        <v>22</v>
      </c>
      <c r="M8" s="126" t="s">
        <v>23</v>
      </c>
      <c r="N8" s="185" t="s">
        <v>148</v>
      </c>
      <c r="O8" s="211" t="s">
        <v>46</v>
      </c>
      <c r="P8" s="18"/>
    </row>
    <row r="9" spans="1:16" s="46" customFormat="1" ht="15.75" customHeight="1" x14ac:dyDescent="0.25">
      <c r="A9" s="131" t="s">
        <v>128</v>
      </c>
      <c r="B9" s="44">
        <v>0</v>
      </c>
      <c r="C9" s="302"/>
      <c r="D9" s="302"/>
      <c r="E9" s="302"/>
      <c r="F9" s="302"/>
      <c r="G9" s="302"/>
      <c r="H9" s="187">
        <f>IF(COUNT(B9:G9)=0,"",SUM(B9:G9))</f>
        <v>0</v>
      </c>
      <c r="I9" s="288">
        <f>H9</f>
        <v>0</v>
      </c>
      <c r="J9" s="288">
        <f>IF(B$4="", "", B$4*$F$4/100)</f>
        <v>2212.5</v>
      </c>
      <c r="K9" s="288">
        <f>IF(C$4="", "", C$4*$F$4/100)</f>
        <v>1106.25</v>
      </c>
      <c r="L9" s="288">
        <f>IF(D$4="", "", D$4*$F$4/100)</f>
        <v>3318.75</v>
      </c>
      <c r="M9" s="289" t="str">
        <f>IF(I9="","",IF(K9="","",IF(L9="","", IF(I9&gt;L9,"Hi",IF(I9&lt;K9,"Lo","Ok")))))</f>
        <v>Lo</v>
      </c>
      <c r="N9" s="44"/>
      <c r="O9" s="136"/>
      <c r="P9" s="18"/>
    </row>
    <row r="10" spans="1:16" s="46" customFormat="1" ht="15.75" customHeight="1" x14ac:dyDescent="0.25">
      <c r="A10" s="131" t="s">
        <v>122</v>
      </c>
      <c r="B10" s="44">
        <v>1</v>
      </c>
      <c r="C10" s="44">
        <v>2</v>
      </c>
      <c r="D10" s="302"/>
      <c r="E10" s="302"/>
      <c r="F10" s="302"/>
      <c r="G10" s="302"/>
      <c r="H10" s="187">
        <f t="shared" ref="H10:H20" si="0">IF(COUNT(B10:G10)=0,"",SUM(B10:G10))</f>
        <v>3</v>
      </c>
      <c r="I10" s="387">
        <f>IF(((H10="")*AND(H11="")*AND(H12="")*AND(H13="")),"",SUM(H10:H13))</f>
        <v>15</v>
      </c>
      <c r="J10" s="387">
        <f>IF(B$4="", "", B$4*$G$4/100)</f>
        <v>2212.5</v>
      </c>
      <c r="K10" s="387">
        <f>IF(C$4="", "", C$4*$G$4/100)</f>
        <v>1106.25</v>
      </c>
      <c r="L10" s="387">
        <f>IF(D$4="", "", D$4*$G$4/100)</f>
        <v>3318.75</v>
      </c>
      <c r="M10" s="388" t="str">
        <f>IF(I10="","",IF(K10="","",IF(L10="","", IF(I10&gt;L10,"Hi",IF(I10&lt;K10,"Lo","Ok")))))</f>
        <v>Lo</v>
      </c>
      <c r="N10" s="44"/>
      <c r="O10" s="136"/>
      <c r="P10" s="18"/>
    </row>
    <row r="11" spans="1:16" s="46" customFormat="1" ht="15.75" customHeight="1" x14ac:dyDescent="0.25">
      <c r="A11" s="131" t="s">
        <v>123</v>
      </c>
      <c r="B11" s="44"/>
      <c r="C11" s="44"/>
      <c r="D11" s="44">
        <v>2</v>
      </c>
      <c r="E11" s="302"/>
      <c r="F11" s="302"/>
      <c r="G11" s="302"/>
      <c r="H11" s="187">
        <f t="shared" si="0"/>
        <v>2</v>
      </c>
      <c r="I11" s="387"/>
      <c r="J11" s="387"/>
      <c r="K11" s="387"/>
      <c r="L11" s="387"/>
      <c r="M11" s="388"/>
      <c r="N11" s="44"/>
      <c r="O11" s="136"/>
      <c r="P11" s="18"/>
    </row>
    <row r="12" spans="1:16" s="46" customFormat="1" ht="15.75" customHeight="1" x14ac:dyDescent="0.25">
      <c r="A12" s="131" t="s">
        <v>124</v>
      </c>
      <c r="B12" s="44"/>
      <c r="C12" s="44"/>
      <c r="D12" s="44"/>
      <c r="E12" s="44">
        <v>4</v>
      </c>
      <c r="F12" s="302"/>
      <c r="G12" s="302"/>
      <c r="H12" s="187">
        <f t="shared" si="0"/>
        <v>4</v>
      </c>
      <c r="I12" s="387"/>
      <c r="J12" s="387"/>
      <c r="K12" s="387"/>
      <c r="L12" s="387"/>
      <c r="M12" s="388"/>
      <c r="N12" s="44"/>
      <c r="O12" s="136"/>
      <c r="P12" s="18"/>
    </row>
    <row r="13" spans="1:16" s="46" customFormat="1" ht="23" x14ac:dyDescent="0.25">
      <c r="A13" s="131" t="s">
        <v>129</v>
      </c>
      <c r="B13" s="44">
        <v>2</v>
      </c>
      <c r="C13" s="44"/>
      <c r="D13" s="44">
        <v>2</v>
      </c>
      <c r="E13" s="44"/>
      <c r="F13" s="44">
        <v>2</v>
      </c>
      <c r="G13" s="302"/>
      <c r="H13" s="187">
        <f t="shared" si="0"/>
        <v>6</v>
      </c>
      <c r="I13" s="399"/>
      <c r="J13" s="387"/>
      <c r="K13" s="387"/>
      <c r="L13" s="387"/>
      <c r="M13" s="400"/>
      <c r="N13" s="44"/>
      <c r="O13" s="136"/>
      <c r="P13" s="18"/>
    </row>
    <row r="14" spans="1:16" s="46" customFormat="1" ht="18.75" customHeight="1" x14ac:dyDescent="0.25">
      <c r="A14" s="131" t="s">
        <v>1</v>
      </c>
      <c r="B14" s="44"/>
      <c r="C14" s="44"/>
      <c r="D14" s="44"/>
      <c r="E14" s="44"/>
      <c r="F14" s="44"/>
      <c r="G14" s="183"/>
      <c r="H14" s="187" t="str">
        <f t="shared" si="0"/>
        <v/>
      </c>
      <c r="I14" s="288" t="str">
        <f>IF(COUNT(H14:H14)=0,"",SUM(H14:H14))</f>
        <v/>
      </c>
      <c r="J14" s="288">
        <f>IF('Project Info'!$H$25="",IF(B$4="","",B$4*$H$4/100),('Project Info'!$H$25-'Project Info'!$H$26)*$H$4*'Project Info'!I10/100)</f>
        <v>3234</v>
      </c>
      <c r="K14" s="288">
        <f>IF('Project Info'!$H$25="",IF(C$4="","",C$4*$H$4/100),('Project Info'!$H$25-'Project Info'!$H$26)*$H$4*'Project Info'!J10/100)</f>
        <v>1617</v>
      </c>
      <c r="L14" s="288">
        <f>IF('Project Info'!$H$25="",IF(D$4="","",D$4*$H$4/100),('Project Info'!$H$25-'Project Info'!$H$26)*$H$4*'Project Info'!K10/100)</f>
        <v>4851</v>
      </c>
      <c r="M14" s="289" t="str">
        <f>IF(I14="","",IF(K14="","",IF(L14="","", IF(I14&gt;L14,"Hi",IF(I14&lt;K14,"Lo","Ok")))))</f>
        <v/>
      </c>
      <c r="N14" s="44"/>
      <c r="O14" s="136"/>
      <c r="P14" s="18"/>
    </row>
    <row r="15" spans="1:16" s="46" customFormat="1" ht="18" customHeight="1" x14ac:dyDescent="0.25">
      <c r="A15" s="131" t="s">
        <v>200</v>
      </c>
      <c r="B15" s="44"/>
      <c r="C15" s="44"/>
      <c r="D15" s="44"/>
      <c r="E15" s="44"/>
      <c r="F15" s="44">
        <v>1</v>
      </c>
      <c r="G15" s="183"/>
      <c r="H15" s="187">
        <f t="shared" si="0"/>
        <v>1</v>
      </c>
      <c r="I15" s="387">
        <f>IF(COUNT(H15:H17)=0,"",SUM(H15:H17))</f>
        <v>5</v>
      </c>
      <c r="J15" s="387">
        <f>IF('Project Info'!$H$25="",IF(B$4="","",B$4*$I$4/100),('Project Info'!$H$25-'Project Info'!$H$26)*$I$4*'Project Info'!I10/100)</f>
        <v>3234</v>
      </c>
      <c r="K15" s="387">
        <f>IF('Project Info'!$H$25="",IF(C$4="","",C$4*$I$4/100),('Project Info'!$H$25-'Project Info'!$H$26)*$I$4*'Project Info'!J10/100)</f>
        <v>1617</v>
      </c>
      <c r="L15" s="387">
        <f>IF('Project Info'!$H$25="",IF(D$4="","",D$4*$I$4/100),('Project Info'!$H$25-'Project Info'!$H$26)*$I$4*'Project Info'!K10/100)</f>
        <v>4851</v>
      </c>
      <c r="M15" s="388" t="str">
        <f>IF(I15="","",IF(K15="","",IF(L15="","", IF(I15&gt;L15,"Hi",IF(I15&lt;K15,"Lo","Ok")))))</f>
        <v>Lo</v>
      </c>
      <c r="N15" s="44"/>
      <c r="O15" s="136"/>
      <c r="P15" s="45"/>
    </row>
    <row r="16" spans="1:16" s="46" customFormat="1" ht="15" customHeight="1" x14ac:dyDescent="0.25">
      <c r="A16" s="131" t="s">
        <v>125</v>
      </c>
      <c r="B16" s="44"/>
      <c r="C16" s="44"/>
      <c r="D16" s="44"/>
      <c r="E16" s="44"/>
      <c r="F16" s="44">
        <v>1</v>
      </c>
      <c r="G16" s="183"/>
      <c r="H16" s="187">
        <f t="shared" si="0"/>
        <v>1</v>
      </c>
      <c r="I16" s="387"/>
      <c r="J16" s="387"/>
      <c r="K16" s="387"/>
      <c r="L16" s="387"/>
      <c r="M16" s="388"/>
      <c r="N16" s="44"/>
      <c r="O16" s="136"/>
      <c r="P16" s="45"/>
    </row>
    <row r="17" spans="1:16" s="46" customFormat="1" ht="15" customHeight="1" x14ac:dyDescent="0.25">
      <c r="A17" s="131" t="s">
        <v>126</v>
      </c>
      <c r="B17" s="44">
        <v>1</v>
      </c>
      <c r="C17" s="44"/>
      <c r="D17" s="44">
        <v>1</v>
      </c>
      <c r="E17" s="44"/>
      <c r="F17" s="44">
        <v>1</v>
      </c>
      <c r="G17" s="183"/>
      <c r="H17" s="187">
        <f t="shared" si="0"/>
        <v>3</v>
      </c>
      <c r="I17" s="387"/>
      <c r="J17" s="387"/>
      <c r="K17" s="387"/>
      <c r="L17" s="387"/>
      <c r="M17" s="388"/>
      <c r="N17" s="44"/>
      <c r="O17" s="136"/>
      <c r="P17" s="45"/>
    </row>
    <row r="18" spans="1:16" s="46" customFormat="1" ht="16.5" customHeight="1" x14ac:dyDescent="0.25">
      <c r="A18" s="131" t="s">
        <v>127</v>
      </c>
      <c r="B18" s="44"/>
      <c r="C18" s="44"/>
      <c r="D18" s="44"/>
      <c r="E18" s="44"/>
      <c r="F18" s="44"/>
      <c r="G18" s="183"/>
      <c r="H18" s="187" t="str">
        <f t="shared" si="0"/>
        <v/>
      </c>
      <c r="I18" s="169"/>
      <c r="J18" s="169"/>
      <c r="K18" s="169"/>
      <c r="L18" s="169"/>
      <c r="M18" s="169" t="str">
        <f>IF(I18="","",IF(K18="","",IF(L18="","", IF(I18&gt;L18,"Hi",IF(I18&lt;K18,"Lo","Ok")))))</f>
        <v/>
      </c>
      <c r="N18" s="44"/>
      <c r="O18" s="136"/>
      <c r="P18" s="45"/>
    </row>
    <row r="19" spans="1:16" s="19" customFormat="1" ht="17.25" customHeight="1" thickBot="1" x14ac:dyDescent="0.3">
      <c r="A19" s="150" t="s">
        <v>2</v>
      </c>
      <c r="B19" s="212">
        <f t="shared" ref="B19:G19" si="1">IF(COUNT(B9:B18)=0,"",SUM(B9:B18))</f>
        <v>4</v>
      </c>
      <c r="C19" s="212">
        <f t="shared" si="1"/>
        <v>2</v>
      </c>
      <c r="D19" s="212">
        <f t="shared" si="1"/>
        <v>5</v>
      </c>
      <c r="E19" s="212">
        <f t="shared" si="1"/>
        <v>4</v>
      </c>
      <c r="F19" s="212">
        <f t="shared" si="1"/>
        <v>5</v>
      </c>
      <c r="G19" s="213" t="str">
        <f t="shared" si="1"/>
        <v/>
      </c>
      <c r="H19" s="214">
        <f>SUM(B19:G19)</f>
        <v>20</v>
      </c>
      <c r="I19" s="290">
        <f>H19</f>
        <v>20</v>
      </c>
      <c r="J19" s="290">
        <f>IF('Project Info'!$H$25="",IF(B$4="","",B$4*$I$4/100),('Project Info'!$H$25-'Project Info'!$H$26)*$J$4*'Project Info'!I10/100)</f>
        <v>9702</v>
      </c>
      <c r="K19" s="290">
        <f>IF('Project Info'!$H$25="",IF(C$4="","",C$4*$I$4/100),('Project Info'!$H$25-'Project Info'!$H$26)*$J$4*'Project Info'!J10/100)</f>
        <v>4851</v>
      </c>
      <c r="L19" s="290">
        <f>IF('Project Info'!$H$25="",IF(D$4="","",D$4*$I$4/100),('Project Info'!$H$25-'Project Info'!$H$26)*$J$4*'Project Info'!K10/100)</f>
        <v>14553</v>
      </c>
      <c r="M19" s="291" t="str">
        <f>IF(I19="","",IF(K19="","",IF(L19="","", IF(I19&gt;L19,"Hi",IF(I19&lt;K19,"Lo","Ok")))))</f>
        <v>Lo</v>
      </c>
      <c r="N19" s="215"/>
      <c r="O19" s="216"/>
      <c r="P19" s="18"/>
    </row>
    <row r="20" spans="1:16" s="19" customFormat="1" ht="23.5" thickBot="1" x14ac:dyDescent="0.3">
      <c r="A20" s="207" t="s">
        <v>30</v>
      </c>
      <c r="B20" s="208">
        <v>0</v>
      </c>
      <c r="C20" s="208">
        <v>0</v>
      </c>
      <c r="D20" s="208">
        <v>0</v>
      </c>
      <c r="E20" s="208">
        <v>0</v>
      </c>
      <c r="F20" s="208">
        <v>0</v>
      </c>
      <c r="G20" s="208"/>
      <c r="H20" s="186">
        <f t="shared" si="0"/>
        <v>0</v>
      </c>
      <c r="I20" s="47"/>
      <c r="J20" s="47"/>
      <c r="K20" s="47"/>
      <c r="L20" s="47"/>
      <c r="M20" s="32"/>
      <c r="N20" s="32"/>
      <c r="O20" s="18"/>
      <c r="P20" s="32"/>
    </row>
    <row r="21" spans="1:16" s="49" customFormat="1" ht="35.25" customHeight="1" x14ac:dyDescent="0.25">
      <c r="A21" s="204" t="s">
        <v>222</v>
      </c>
      <c r="B21" s="225">
        <f t="shared" ref="B21:G21" si="2">IF(ISERROR(B19/$H$19),"",100*B19/$H$19)</f>
        <v>20</v>
      </c>
      <c r="C21" s="225">
        <f t="shared" si="2"/>
        <v>10</v>
      </c>
      <c r="D21" s="225">
        <f t="shared" si="2"/>
        <v>25</v>
      </c>
      <c r="E21" s="225">
        <f t="shared" si="2"/>
        <v>20</v>
      </c>
      <c r="F21" s="225">
        <f t="shared" si="2"/>
        <v>25</v>
      </c>
      <c r="G21" s="226" t="str">
        <f t="shared" si="2"/>
        <v/>
      </c>
      <c r="H21" s="48" t="s">
        <v>61</v>
      </c>
      <c r="I21" s="47"/>
      <c r="J21" s="47"/>
      <c r="K21" s="47"/>
      <c r="L21" s="47"/>
      <c r="M21" s="32"/>
      <c r="N21" s="32"/>
      <c r="O21" s="18"/>
      <c r="P21" s="32"/>
    </row>
    <row r="22" spans="1:16" s="49" customFormat="1" ht="26.25" customHeight="1" thickBot="1" x14ac:dyDescent="0.3">
      <c r="A22" s="227" t="s">
        <v>223</v>
      </c>
      <c r="B22" s="228">
        <f>IF(ISERROR(('Defect Data'!B19-'Defect Data'!B9)/'Defect Data'!B19)," ",(100*('Defect Data'!B19-'Defect Data'!B9)/'Defect Data'!B19))</f>
        <v>100</v>
      </c>
      <c r="C22" s="228">
        <f>IF(ISERROR(('Defect Data'!C19-'Defect Data'!C10)/'Defect Data'!C19)," ",(100*('Defect Data'!C19-'Defect Data'!C10)/'Defect Data'!C19))</f>
        <v>0</v>
      </c>
      <c r="D22" s="228">
        <f>IF(ISERROR(('Defect Data'!D19-'Defect Data'!D11)/'Defect Data'!D19)," ",(100*('Defect Data'!D19-'Defect Data'!D11)/'Defect Data'!D19))</f>
        <v>60</v>
      </c>
      <c r="E22" s="228">
        <f>IF(ISERROR(('Defect Data'!E19-'Defect Data'!E12)/'Defect Data'!E19)," ",(100*('Defect Data'!E19-'Defect Data'!E12)/'Defect Data'!E19))</f>
        <v>0</v>
      </c>
      <c r="F22" s="228">
        <f>IF(ISERROR(('Defect Data'!F19-'Defect Data'!F13)/'Defect Data'!F19)," ",(100*('Defect Data'!F19-'Defect Data'!F13)/'Defect Data'!F19))</f>
        <v>60</v>
      </c>
      <c r="G22" s="229" t="str">
        <f>IF(ISERROR(('Defect Data'!G19-SUM('Defect Data'!G14:G14))/'Defect Data'!G19)," ",(100*('Defect Data'!G19-SUM('Defect Data'!G14:G14))/'Defect Data'!G19))</f>
        <v xml:space="preserve"> </v>
      </c>
      <c r="H22" s="71"/>
      <c r="I22" s="47"/>
      <c r="J22" s="47"/>
      <c r="K22" s="47"/>
      <c r="L22" s="47"/>
      <c r="M22" s="32"/>
      <c r="N22" s="32"/>
      <c r="O22" s="18"/>
      <c r="P22" s="32"/>
    </row>
    <row r="23" spans="1:16" s="12" customFormat="1" ht="4.5" customHeight="1" thickBot="1" x14ac:dyDescent="0.3">
      <c r="A23" s="13"/>
      <c r="B23" s="10"/>
      <c r="C23" s="10"/>
      <c r="D23" s="10"/>
      <c r="E23" s="10"/>
      <c r="F23" s="10"/>
      <c r="G23" s="10"/>
      <c r="H23" s="10"/>
      <c r="I23" s="10"/>
      <c r="J23" s="10"/>
      <c r="K23" s="10"/>
      <c r="L23" s="11"/>
      <c r="M23" s="11"/>
      <c r="N23" s="7"/>
      <c r="O23" s="11"/>
      <c r="P23" s="7"/>
    </row>
    <row r="24" spans="1:16" s="12" customFormat="1" ht="4.5" hidden="1" customHeight="1" x14ac:dyDescent="0.25">
      <c r="A24" s="13"/>
      <c r="B24" s="10"/>
      <c r="C24" s="10"/>
      <c r="D24" s="10"/>
      <c r="E24" s="10"/>
      <c r="F24" s="10"/>
      <c r="G24" s="10"/>
      <c r="H24" s="10"/>
      <c r="I24" s="10"/>
      <c r="J24" s="10"/>
      <c r="K24" s="10"/>
      <c r="L24" s="11"/>
      <c r="M24" s="11"/>
      <c r="N24" s="7"/>
      <c r="O24" s="11"/>
      <c r="P24" s="7"/>
    </row>
    <row r="25" spans="1:16" s="12" customFormat="1" ht="4.5" hidden="1" customHeight="1" x14ac:dyDescent="0.25">
      <c r="A25" s="13"/>
      <c r="B25" s="10"/>
      <c r="C25" s="10"/>
      <c r="D25" s="10"/>
      <c r="E25" s="10"/>
      <c r="F25" s="10"/>
      <c r="G25" s="10"/>
      <c r="H25" s="10"/>
      <c r="I25" s="10"/>
      <c r="J25" s="10"/>
      <c r="K25" s="10"/>
      <c r="L25" s="11"/>
      <c r="M25" s="11"/>
      <c r="N25" s="7"/>
      <c r="O25" s="11"/>
      <c r="P25" s="7"/>
    </row>
    <row r="26" spans="1:16" s="12" customFormat="1" ht="4.5" hidden="1" customHeight="1" x14ac:dyDescent="0.25">
      <c r="A26" s="13"/>
      <c r="B26" s="10"/>
      <c r="C26" s="10"/>
      <c r="D26" s="10"/>
      <c r="E26" s="10"/>
      <c r="F26" s="10"/>
      <c r="G26" s="10"/>
      <c r="H26" s="10"/>
      <c r="I26" s="10"/>
      <c r="J26" s="10"/>
      <c r="K26" s="10"/>
      <c r="L26" s="11"/>
      <c r="M26" s="11"/>
      <c r="N26" s="7"/>
      <c r="O26" s="11"/>
      <c r="P26" s="7"/>
    </row>
    <row r="27" spans="1:16" s="12" customFormat="1" ht="4.5" hidden="1" customHeight="1" x14ac:dyDescent="0.25">
      <c r="A27" s="13"/>
      <c r="B27" s="10"/>
      <c r="C27" s="10"/>
      <c r="D27" s="10"/>
      <c r="E27" s="10"/>
      <c r="F27" s="10"/>
      <c r="G27" s="10"/>
      <c r="H27" s="10"/>
      <c r="I27" s="10"/>
      <c r="J27" s="10"/>
      <c r="K27" s="10"/>
      <c r="L27" s="11"/>
      <c r="M27" s="11"/>
      <c r="N27" s="7"/>
      <c r="O27" s="11"/>
      <c r="P27" s="7"/>
    </row>
    <row r="28" spans="1:16" ht="22.5" customHeight="1" x14ac:dyDescent="0.25">
      <c r="A28" s="371" t="s">
        <v>208</v>
      </c>
      <c r="B28" s="372"/>
      <c r="C28" s="372"/>
      <c r="D28" s="372"/>
      <c r="E28" s="372"/>
      <c r="F28" s="372"/>
      <c r="G28" s="372"/>
      <c r="H28" s="373"/>
      <c r="I28" s="15"/>
      <c r="J28" s="383" t="s">
        <v>179</v>
      </c>
      <c r="K28" s="384"/>
      <c r="L28" s="385"/>
      <c r="M28" s="15"/>
      <c r="N28" s="7"/>
      <c r="O28" s="16"/>
    </row>
    <row r="29" spans="1:16" s="19" customFormat="1" ht="37.5" customHeight="1" x14ac:dyDescent="0.25">
      <c r="A29" s="166" t="s">
        <v>38</v>
      </c>
      <c r="B29" s="82" t="s">
        <v>66</v>
      </c>
      <c r="C29" s="82" t="s">
        <v>67</v>
      </c>
      <c r="D29" s="82" t="s">
        <v>68</v>
      </c>
      <c r="E29" s="82" t="s">
        <v>69</v>
      </c>
      <c r="F29" s="82" t="s">
        <v>2</v>
      </c>
      <c r="G29" s="85" t="s">
        <v>224</v>
      </c>
      <c r="H29" s="200" t="s">
        <v>225</v>
      </c>
      <c r="I29" s="57"/>
      <c r="J29" s="199" t="s">
        <v>38</v>
      </c>
      <c r="K29" s="73" t="s">
        <v>381</v>
      </c>
      <c r="L29" s="140" t="s">
        <v>382</v>
      </c>
      <c r="M29" s="20"/>
      <c r="N29" s="18"/>
      <c r="O29" s="18"/>
      <c r="P29" s="7"/>
    </row>
    <row r="30" spans="1:16" ht="13" thickBot="1" x14ac:dyDescent="0.3">
      <c r="A30" s="166" t="s">
        <v>118</v>
      </c>
      <c r="B30" s="44"/>
      <c r="C30" s="44">
        <v>1</v>
      </c>
      <c r="D30" s="44">
        <v>2</v>
      </c>
      <c r="E30" s="44"/>
      <c r="F30" s="69">
        <f t="shared" ref="F30:F35" si="3">(SUM(B30:E30))</f>
        <v>3</v>
      </c>
      <c r="G30" s="99">
        <f t="shared" ref="G30:G36" si="4">IF(ISERROR(F30/F$37),"",100*(F30/F$37))</f>
        <v>20</v>
      </c>
      <c r="H30" s="195">
        <f t="shared" ref="H30:H36" si="5">IF(ISERROR((B30*4+C30*3+D30*2+E30*1)/(B$37*4+C$37*3+D$37*2+E$37)),"",100*((B30*4+C30*3+D30*2+E30*1)/(B$37*4+C$37*3+D$37*2+E$37)))</f>
        <v>18.918918918918919</v>
      </c>
      <c r="I30" s="57"/>
      <c r="J30" s="166" t="s">
        <v>180</v>
      </c>
      <c r="K30" s="228">
        <v>24.324324324324326</v>
      </c>
      <c r="L30" s="228">
        <f>K30</f>
        <v>24.324324324324326</v>
      </c>
      <c r="M30" s="16"/>
      <c r="N30" s="7"/>
      <c r="O30" s="7"/>
    </row>
    <row r="31" spans="1:16" ht="13" thickBot="1" x14ac:dyDescent="0.3">
      <c r="A31" s="166" t="s">
        <v>119</v>
      </c>
      <c r="B31" s="44"/>
      <c r="C31" s="44">
        <v>2</v>
      </c>
      <c r="D31" s="44"/>
      <c r="E31" s="44">
        <v>2</v>
      </c>
      <c r="F31" s="69">
        <f t="shared" si="3"/>
        <v>4</v>
      </c>
      <c r="G31" s="99">
        <f t="shared" si="4"/>
        <v>26.666666666666668</v>
      </c>
      <c r="H31" s="195">
        <f t="shared" si="5"/>
        <v>21.621621621621621</v>
      </c>
      <c r="I31" s="57"/>
      <c r="J31" s="166" t="s">
        <v>181</v>
      </c>
      <c r="K31" s="228">
        <v>24.324324324324326</v>
      </c>
      <c r="L31" s="228">
        <f t="shared" ref="L31:L36" si="6">IF(ISERROR(K31+L30),"",(K31+L30))</f>
        <v>48.648648648648653</v>
      </c>
      <c r="M31" s="16"/>
      <c r="N31" s="7"/>
      <c r="O31" s="7"/>
    </row>
    <row r="32" spans="1:16" ht="13" thickBot="1" x14ac:dyDescent="0.3">
      <c r="A32" s="166" t="s">
        <v>120</v>
      </c>
      <c r="B32" s="44"/>
      <c r="C32" s="44"/>
      <c r="D32" s="44">
        <v>2</v>
      </c>
      <c r="E32" s="44"/>
      <c r="F32" s="69">
        <f t="shared" si="3"/>
        <v>2</v>
      </c>
      <c r="G32" s="99">
        <f t="shared" si="4"/>
        <v>13.333333333333334</v>
      </c>
      <c r="H32" s="195">
        <f t="shared" si="5"/>
        <v>10.810810810810811</v>
      </c>
      <c r="I32" s="57"/>
      <c r="J32" s="166" t="s">
        <v>119</v>
      </c>
      <c r="K32" s="228">
        <v>21.621621621621621</v>
      </c>
      <c r="L32" s="228">
        <f t="shared" si="6"/>
        <v>70.270270270270274</v>
      </c>
      <c r="M32" s="16"/>
      <c r="N32" s="7"/>
      <c r="O32" s="7"/>
    </row>
    <row r="33" spans="1:16" ht="13" thickBot="1" x14ac:dyDescent="0.3">
      <c r="A33" s="166" t="s">
        <v>207</v>
      </c>
      <c r="B33" s="44"/>
      <c r="C33" s="44"/>
      <c r="D33" s="44"/>
      <c r="E33" s="44"/>
      <c r="F33" s="69">
        <f t="shared" si="3"/>
        <v>0</v>
      </c>
      <c r="G33" s="99">
        <f t="shared" si="4"/>
        <v>0</v>
      </c>
      <c r="H33" s="195">
        <f t="shared" si="5"/>
        <v>0</v>
      </c>
      <c r="I33" s="57"/>
      <c r="J33" s="166" t="s">
        <v>118</v>
      </c>
      <c r="K33" s="228">
        <v>18.918918918918919</v>
      </c>
      <c r="L33" s="228">
        <f t="shared" si="6"/>
        <v>89.189189189189193</v>
      </c>
      <c r="M33" s="16"/>
      <c r="N33" s="7"/>
      <c r="O33" s="7"/>
    </row>
    <row r="34" spans="1:16" ht="13" thickBot="1" x14ac:dyDescent="0.3">
      <c r="A34" s="166" t="s">
        <v>180</v>
      </c>
      <c r="B34" s="44">
        <v>1</v>
      </c>
      <c r="C34" s="44">
        <v>1</v>
      </c>
      <c r="D34" s="44">
        <v>1</v>
      </c>
      <c r="E34" s="44"/>
      <c r="F34" s="69">
        <f t="shared" si="3"/>
        <v>3</v>
      </c>
      <c r="G34" s="99">
        <f t="shared" si="4"/>
        <v>20</v>
      </c>
      <c r="H34" s="195">
        <f t="shared" si="5"/>
        <v>24.324324324324326</v>
      </c>
      <c r="I34" s="57"/>
      <c r="J34" s="166" t="s">
        <v>120</v>
      </c>
      <c r="K34" s="228">
        <v>10.810810810810811</v>
      </c>
      <c r="L34" s="228">
        <f t="shared" si="6"/>
        <v>100</v>
      </c>
      <c r="M34" s="16"/>
      <c r="N34" s="7"/>
      <c r="O34" s="7"/>
    </row>
    <row r="35" spans="1:16" ht="13" thickBot="1" x14ac:dyDescent="0.3">
      <c r="A35" s="166" t="s">
        <v>181</v>
      </c>
      <c r="B35" s="44"/>
      <c r="C35" s="44">
        <v>3</v>
      </c>
      <c r="D35" s="44"/>
      <c r="E35" s="44"/>
      <c r="F35" s="69">
        <f t="shared" si="3"/>
        <v>3</v>
      </c>
      <c r="G35" s="99">
        <f t="shared" si="4"/>
        <v>20</v>
      </c>
      <c r="H35" s="195">
        <f t="shared" si="5"/>
        <v>24.324324324324326</v>
      </c>
      <c r="I35" s="57"/>
      <c r="J35" s="166" t="s">
        <v>207</v>
      </c>
      <c r="K35" s="228">
        <v>0</v>
      </c>
      <c r="L35" s="228">
        <f t="shared" si="6"/>
        <v>100</v>
      </c>
      <c r="M35" s="16"/>
      <c r="N35" s="7"/>
      <c r="O35" s="7"/>
    </row>
    <row r="36" spans="1:16" ht="13" thickBot="1" x14ac:dyDescent="0.3">
      <c r="A36" s="150" t="s">
        <v>182</v>
      </c>
      <c r="B36" s="292"/>
      <c r="C36" s="292"/>
      <c r="D36" s="292"/>
      <c r="E36" s="292"/>
      <c r="F36" s="197">
        <f>(SUM(B36:E36))</f>
        <v>0</v>
      </c>
      <c r="G36" s="201">
        <f t="shared" si="4"/>
        <v>0</v>
      </c>
      <c r="H36" s="198">
        <f t="shared" si="5"/>
        <v>0</v>
      </c>
      <c r="I36" s="57"/>
      <c r="J36" s="150" t="s">
        <v>182</v>
      </c>
      <c r="K36" s="228">
        <v>0</v>
      </c>
      <c r="L36" s="228">
        <f t="shared" si="6"/>
        <v>100</v>
      </c>
      <c r="M36" s="16"/>
      <c r="N36" s="7"/>
      <c r="O36" s="7"/>
    </row>
    <row r="37" spans="1:16" ht="20.25" customHeight="1" thickBot="1" x14ac:dyDescent="0.3">
      <c r="A37" s="202" t="s">
        <v>2</v>
      </c>
      <c r="B37" s="203">
        <f>SUM(B30:B36)</f>
        <v>1</v>
      </c>
      <c r="C37" s="203">
        <f>SUM(C30:C36)</f>
        <v>7</v>
      </c>
      <c r="D37" s="203">
        <f>SUM(D30:D36)</f>
        <v>5</v>
      </c>
      <c r="E37" s="203">
        <f>SUM(E30:E36)</f>
        <v>2</v>
      </c>
      <c r="F37" s="214">
        <f>SUM(B37:E37)</f>
        <v>15</v>
      </c>
      <c r="G37" s="70"/>
      <c r="H37" s="18"/>
      <c r="I37" s="18"/>
      <c r="J37" s="18"/>
      <c r="K37" s="18"/>
      <c r="L37" s="18"/>
      <c r="M37" s="58"/>
      <c r="N37" s="7"/>
      <c r="O37" s="7"/>
    </row>
    <row r="38" spans="1:16" ht="5.25" customHeight="1" x14ac:dyDescent="0.25">
      <c r="A38" s="7"/>
      <c r="B38" s="7"/>
      <c r="C38" s="7"/>
      <c r="D38" s="7"/>
      <c r="E38" s="7"/>
      <c r="F38" s="7"/>
      <c r="G38" s="7"/>
      <c r="H38" s="7"/>
      <c r="I38" s="7"/>
      <c r="J38" s="7"/>
      <c r="K38" s="7"/>
      <c r="L38" s="7"/>
      <c r="M38" s="7"/>
      <c r="N38" s="7"/>
      <c r="O38" s="7"/>
    </row>
    <row r="39" spans="1:16" ht="21" customHeight="1" thickBot="1" x14ac:dyDescent="0.3">
      <c r="A39" s="386" t="s">
        <v>59</v>
      </c>
      <c r="B39" s="386"/>
      <c r="C39" s="386"/>
      <c r="D39" s="386"/>
      <c r="E39" s="386"/>
      <c r="F39" s="386"/>
      <c r="G39" s="386"/>
      <c r="H39" s="386"/>
      <c r="I39" s="386"/>
      <c r="J39" s="386"/>
      <c r="K39" s="386"/>
      <c r="L39" s="386"/>
      <c r="M39" s="386"/>
      <c r="N39" s="7"/>
      <c r="O39" s="7"/>
    </row>
    <row r="40" spans="1:16" ht="21.75" customHeight="1" x14ac:dyDescent="0.3">
      <c r="A40" s="192"/>
      <c r="B40" s="378" t="s">
        <v>50</v>
      </c>
      <c r="C40" s="378"/>
      <c r="D40" s="378"/>
      <c r="E40" s="378"/>
      <c r="F40" s="378"/>
      <c r="G40" s="378"/>
      <c r="H40" s="378"/>
      <c r="I40" s="378"/>
      <c r="J40" s="378"/>
      <c r="K40" s="378"/>
      <c r="L40" s="378"/>
      <c r="M40" s="379" t="s">
        <v>380</v>
      </c>
      <c r="N40" s="381" t="s">
        <v>226</v>
      </c>
      <c r="O40" s="7"/>
    </row>
    <row r="41" spans="1:16" s="19" customFormat="1" ht="16.5" customHeight="1" x14ac:dyDescent="0.25">
      <c r="A41" s="193" t="s">
        <v>211</v>
      </c>
      <c r="B41" s="91" t="s">
        <v>121</v>
      </c>
      <c r="C41" s="91" t="s">
        <v>52</v>
      </c>
      <c r="D41" s="91" t="s">
        <v>53</v>
      </c>
      <c r="E41" s="91" t="s">
        <v>54</v>
      </c>
      <c r="F41" s="91" t="s">
        <v>51</v>
      </c>
      <c r="G41" s="91" t="s">
        <v>55</v>
      </c>
      <c r="H41" s="91" t="s">
        <v>56</v>
      </c>
      <c r="I41" s="91" t="s">
        <v>57</v>
      </c>
      <c r="J41" s="91" t="s">
        <v>183</v>
      </c>
      <c r="K41" s="91" t="s">
        <v>184</v>
      </c>
      <c r="L41" s="91" t="s">
        <v>58</v>
      </c>
      <c r="M41" s="380"/>
      <c r="N41" s="382"/>
      <c r="O41" s="7"/>
      <c r="P41" s="7"/>
    </row>
    <row r="42" spans="1:16" ht="16.5" customHeight="1" x14ac:dyDescent="0.25">
      <c r="A42" s="194">
        <v>1</v>
      </c>
      <c r="B42" s="44">
        <v>1</v>
      </c>
      <c r="C42" s="44"/>
      <c r="D42" s="44"/>
      <c r="E42" s="44"/>
      <c r="F42" s="44"/>
      <c r="G42" s="44"/>
      <c r="H42" s="44"/>
      <c r="I42" s="44"/>
      <c r="J42" s="44"/>
      <c r="K42" s="44"/>
      <c r="L42" s="44"/>
      <c r="M42" s="69">
        <f>SUM(B42:K42)</f>
        <v>1</v>
      </c>
      <c r="N42" s="195">
        <f>IF(ISERROR(M42/$M$46),"",100*M42/$M$46)</f>
        <v>6.666666666666667</v>
      </c>
      <c r="O42" s="7"/>
    </row>
    <row r="43" spans="1:16" ht="16.5" customHeight="1" x14ac:dyDescent="0.25">
      <c r="A43" s="194">
        <v>2</v>
      </c>
      <c r="B43" s="44">
        <v>1</v>
      </c>
      <c r="C43" s="44"/>
      <c r="D43" s="44"/>
      <c r="E43" s="44"/>
      <c r="F43" s="44"/>
      <c r="G43" s="44">
        <v>2</v>
      </c>
      <c r="H43" s="44"/>
      <c r="I43" s="44"/>
      <c r="J43" s="44">
        <v>4</v>
      </c>
      <c r="K43" s="44"/>
      <c r="L43" s="44"/>
      <c r="M43" s="69">
        <f>SUM(B43:K43)</f>
        <v>7</v>
      </c>
      <c r="N43" s="195">
        <f>IF(ISERROR(M43/$M$46),"",100*M43/$M$46)</f>
        <v>46.666666666666664</v>
      </c>
      <c r="O43" s="7"/>
    </row>
    <row r="44" spans="1:16" ht="16.5" customHeight="1" x14ac:dyDescent="0.25">
      <c r="A44" s="194">
        <v>3</v>
      </c>
      <c r="B44" s="44"/>
      <c r="C44" s="44"/>
      <c r="D44" s="44"/>
      <c r="E44" s="44"/>
      <c r="F44" s="44"/>
      <c r="G44" s="44">
        <v>3</v>
      </c>
      <c r="H44" s="44"/>
      <c r="I44" s="44"/>
      <c r="J44" s="44">
        <v>2</v>
      </c>
      <c r="K44" s="44"/>
      <c r="L44" s="44"/>
      <c r="M44" s="69">
        <f>SUM(B44:K44)</f>
        <v>5</v>
      </c>
      <c r="N44" s="195">
        <f>IF(ISERROR(M44/$M$46),"",100*M44/$M$46)</f>
        <v>33.333333333333336</v>
      </c>
      <c r="O44" s="7"/>
    </row>
    <row r="45" spans="1:16" ht="16.5" customHeight="1" x14ac:dyDescent="0.25">
      <c r="A45" s="194">
        <v>4</v>
      </c>
      <c r="B45" s="44"/>
      <c r="C45" s="44"/>
      <c r="D45" s="44"/>
      <c r="E45" s="44"/>
      <c r="F45" s="44"/>
      <c r="G45" s="44"/>
      <c r="H45" s="44"/>
      <c r="I45" s="44"/>
      <c r="J45" s="44">
        <v>1</v>
      </c>
      <c r="K45" s="44">
        <v>1</v>
      </c>
      <c r="L45" s="44"/>
      <c r="M45" s="69">
        <f>SUM(B45:K45)</f>
        <v>2</v>
      </c>
      <c r="N45" s="195">
        <f>IF(ISERROR(M45/$M$46),"",100*M45/$M$46)</f>
        <v>13.333333333333334</v>
      </c>
      <c r="O45" s="7"/>
    </row>
    <row r="46" spans="1:16" ht="18" customHeight="1" thickBot="1" x14ac:dyDescent="0.3">
      <c r="A46" s="150" t="s">
        <v>2</v>
      </c>
      <c r="B46" s="196">
        <f>(SUM(B42:B45))</f>
        <v>2</v>
      </c>
      <c r="C46" s="196">
        <f t="shared" ref="C46:L46" si="7">(SUM(C42:C45))</f>
        <v>0</v>
      </c>
      <c r="D46" s="196">
        <f t="shared" si="7"/>
        <v>0</v>
      </c>
      <c r="E46" s="196">
        <f t="shared" si="7"/>
        <v>0</v>
      </c>
      <c r="F46" s="196">
        <f t="shared" si="7"/>
        <v>0</v>
      </c>
      <c r="G46" s="196">
        <f t="shared" si="7"/>
        <v>5</v>
      </c>
      <c r="H46" s="196">
        <f t="shared" si="7"/>
        <v>0</v>
      </c>
      <c r="I46" s="196">
        <f t="shared" si="7"/>
        <v>0</v>
      </c>
      <c r="J46" s="196">
        <f t="shared" si="7"/>
        <v>7</v>
      </c>
      <c r="K46" s="196">
        <f t="shared" si="7"/>
        <v>1</v>
      </c>
      <c r="L46" s="196">
        <f t="shared" si="7"/>
        <v>0</v>
      </c>
      <c r="M46" s="214">
        <f>SUM(B46:K46)</f>
        <v>15</v>
      </c>
      <c r="N46" s="7"/>
      <c r="O46" s="7"/>
    </row>
    <row r="47" spans="1:16" ht="18.75" customHeight="1" x14ac:dyDescent="0.25">
      <c r="A47" s="204" t="s">
        <v>60</v>
      </c>
      <c r="B47" s="205">
        <f t="shared" ref="B47:K47" si="8">IF(ISERROR(B46/$M$46*100),"",B46/$M$46*100)</f>
        <v>13.333333333333334</v>
      </c>
      <c r="C47" s="205">
        <f t="shared" si="8"/>
        <v>0</v>
      </c>
      <c r="D47" s="205">
        <f t="shared" si="8"/>
        <v>0</v>
      </c>
      <c r="E47" s="205">
        <f t="shared" si="8"/>
        <v>0</v>
      </c>
      <c r="F47" s="205">
        <f t="shared" si="8"/>
        <v>0</v>
      </c>
      <c r="G47" s="205">
        <f t="shared" si="8"/>
        <v>33.333333333333329</v>
      </c>
      <c r="H47" s="205">
        <f t="shared" si="8"/>
        <v>0</v>
      </c>
      <c r="I47" s="205">
        <f t="shared" si="8"/>
        <v>0</v>
      </c>
      <c r="J47" s="205">
        <f t="shared" si="8"/>
        <v>46.666666666666664</v>
      </c>
      <c r="K47" s="206">
        <f t="shared" si="8"/>
        <v>6.666666666666667</v>
      </c>
      <c r="L47" s="18"/>
      <c r="M47" s="18"/>
      <c r="N47" s="48"/>
      <c r="O47" s="7"/>
    </row>
    <row r="48" spans="1:16" ht="23.5" thickBot="1" x14ac:dyDescent="0.3">
      <c r="A48" s="150" t="s">
        <v>228</v>
      </c>
      <c r="B48" s="190">
        <f>IF(ISERROR((B42*4+B43*3+B44*2+B45*1)/($M$42*4+$M$43*3+$M$44*2+$M$45)),"",100*((B42*4+B43*3+B44*2+B45*1)/($M$42*4+$M$43*3+$M$44*2+$M$45)))</f>
        <v>18.918918918918919</v>
      </c>
      <c r="C48" s="190">
        <f>IF(ISERROR((C42*4+C43*3+C44*2+C45*1)/($M$42*4+$M$43*3+$M$44*2+$M$45)),"",100*((C42*4+C43*3+C44*2+C45*1)/($M$42*4+$M$43*3+$M$44*2+$M$45)))</f>
        <v>0</v>
      </c>
      <c r="D48" s="190">
        <f t="shared" ref="D48:K48" si="9">IF(ISERROR((D42*4+D43*3+D44*2+D45*1)/($M$42*4+$M$43*3+$M$44*2+$M$45)),"",100*((D42*4+D43*3+D44*2+D45*1)/($M$42*4+$M$43*3+$M$44*2+$M$45)))</f>
        <v>0</v>
      </c>
      <c r="E48" s="190">
        <f t="shared" si="9"/>
        <v>0</v>
      </c>
      <c r="F48" s="190">
        <f t="shared" si="9"/>
        <v>0</v>
      </c>
      <c r="G48" s="190">
        <f t="shared" si="9"/>
        <v>32.432432432432435</v>
      </c>
      <c r="H48" s="190">
        <f t="shared" si="9"/>
        <v>0</v>
      </c>
      <c r="I48" s="190">
        <f t="shared" si="9"/>
        <v>0</v>
      </c>
      <c r="J48" s="190">
        <f t="shared" si="9"/>
        <v>45.945945945945951</v>
      </c>
      <c r="K48" s="191">
        <f t="shared" si="9"/>
        <v>2.7027027027027026</v>
      </c>
      <c r="L48" s="18"/>
      <c r="M48" s="18"/>
      <c r="N48" s="18"/>
      <c r="O48" s="7"/>
    </row>
    <row r="49" spans="1:16" ht="7.5" customHeight="1" thickBot="1" x14ac:dyDescent="0.3">
      <c r="A49" s="11"/>
      <c r="B49" s="17"/>
      <c r="C49" s="17"/>
      <c r="D49" s="17"/>
      <c r="E49" s="17"/>
      <c r="F49" s="7"/>
      <c r="G49" s="7"/>
      <c r="H49" s="7"/>
      <c r="I49" s="7"/>
      <c r="J49" s="7"/>
      <c r="K49" s="7"/>
      <c r="L49" s="7"/>
      <c r="M49" s="7"/>
      <c r="N49" s="7"/>
      <c r="O49" s="7"/>
      <c r="P49" s="10"/>
    </row>
    <row r="50" spans="1:16" ht="34.5" customHeight="1" x14ac:dyDescent="0.25">
      <c r="A50" s="153" t="s">
        <v>50</v>
      </c>
      <c r="B50" s="124" t="s">
        <v>228</v>
      </c>
      <c r="C50" s="125" t="s">
        <v>227</v>
      </c>
      <c r="D50" s="7"/>
      <c r="E50" s="17"/>
      <c r="F50" s="7"/>
      <c r="G50" s="7"/>
      <c r="H50" s="7"/>
      <c r="I50" s="7"/>
      <c r="J50" s="7"/>
      <c r="K50" s="7"/>
      <c r="L50" s="7"/>
      <c r="M50" s="7"/>
      <c r="N50" s="7"/>
      <c r="O50" s="7"/>
      <c r="P50" s="10"/>
    </row>
    <row r="51" spans="1:16" ht="13" thickBot="1" x14ac:dyDescent="0.3">
      <c r="A51" s="188" t="s">
        <v>183</v>
      </c>
      <c r="B51" s="228">
        <v>45.945945945945951</v>
      </c>
      <c r="C51" s="228">
        <f>B51</f>
        <v>45.945945945945951</v>
      </c>
      <c r="D51" s="7"/>
      <c r="E51" s="7"/>
      <c r="F51" s="7"/>
      <c r="G51" s="7"/>
      <c r="H51" s="7"/>
      <c r="I51" s="7"/>
      <c r="J51" s="7"/>
      <c r="K51" s="7"/>
      <c r="L51" s="7"/>
      <c r="M51" s="7"/>
      <c r="N51" s="7"/>
      <c r="O51" s="7"/>
      <c r="P51" s="10"/>
    </row>
    <row r="52" spans="1:16" ht="13" thickBot="1" x14ac:dyDescent="0.3">
      <c r="A52" s="188" t="s">
        <v>55</v>
      </c>
      <c r="B52" s="228">
        <v>32.432432432432435</v>
      </c>
      <c r="C52" s="228">
        <f>IF(ISERROR(B52+C51),"",(B52+C51))</f>
        <v>78.378378378378386</v>
      </c>
      <c r="D52" s="7"/>
      <c r="E52" s="7"/>
      <c r="F52" s="7"/>
      <c r="G52" s="7"/>
      <c r="H52" s="7"/>
      <c r="I52" s="7"/>
      <c r="J52" s="7"/>
      <c r="K52" s="7"/>
      <c r="L52" s="7"/>
      <c r="M52" s="7"/>
      <c r="N52" s="7"/>
      <c r="O52" s="7"/>
      <c r="P52" s="10"/>
    </row>
    <row r="53" spans="1:16" ht="13" thickBot="1" x14ac:dyDescent="0.3">
      <c r="A53" s="188" t="s">
        <v>121</v>
      </c>
      <c r="B53" s="228">
        <v>18.918918918918919</v>
      </c>
      <c r="C53" s="228">
        <f t="shared" ref="C53:C60" si="10">IF(ISERROR(B53+C52),"",(B53+C52))</f>
        <v>97.297297297297305</v>
      </c>
      <c r="D53" s="7"/>
      <c r="E53" s="7"/>
      <c r="F53" s="7"/>
      <c r="G53" s="7"/>
      <c r="H53" s="7"/>
      <c r="I53" s="7"/>
      <c r="J53" s="7"/>
      <c r="K53" s="7"/>
      <c r="L53" s="7"/>
      <c r="M53" s="7"/>
      <c r="N53" s="7"/>
      <c r="O53" s="7"/>
      <c r="P53" s="10"/>
    </row>
    <row r="54" spans="1:16" ht="13" thickBot="1" x14ac:dyDescent="0.3">
      <c r="A54" s="188" t="s">
        <v>184</v>
      </c>
      <c r="B54" s="228">
        <v>2.7027027027027026</v>
      </c>
      <c r="C54" s="228">
        <f t="shared" si="10"/>
        <v>100.00000000000001</v>
      </c>
      <c r="D54" s="17"/>
      <c r="E54" s="17"/>
      <c r="F54" s="7"/>
      <c r="G54" s="7"/>
      <c r="H54" s="7"/>
      <c r="I54" s="7"/>
      <c r="J54" s="7"/>
      <c r="K54" s="7"/>
      <c r="L54" s="7"/>
      <c r="M54" s="7"/>
      <c r="N54" s="7"/>
      <c r="O54" s="7"/>
      <c r="P54" s="10"/>
    </row>
    <row r="55" spans="1:16" ht="13" thickBot="1" x14ac:dyDescent="0.3">
      <c r="A55" s="188" t="s">
        <v>52</v>
      </c>
      <c r="B55" s="228">
        <v>0</v>
      </c>
      <c r="C55" s="228">
        <f t="shared" si="10"/>
        <v>100.00000000000001</v>
      </c>
      <c r="D55" s="7"/>
      <c r="E55" s="7"/>
      <c r="F55" s="7"/>
      <c r="G55" s="7"/>
      <c r="H55" s="7"/>
      <c r="I55" s="7"/>
      <c r="J55" s="7"/>
      <c r="K55" s="7"/>
      <c r="L55" s="7"/>
      <c r="M55" s="7"/>
      <c r="N55" s="7"/>
      <c r="O55" s="7"/>
      <c r="P55" s="10"/>
    </row>
    <row r="56" spans="1:16" ht="13" thickBot="1" x14ac:dyDescent="0.3">
      <c r="A56" s="188" t="s">
        <v>53</v>
      </c>
      <c r="B56" s="228">
        <v>0</v>
      </c>
      <c r="C56" s="228">
        <f t="shared" si="10"/>
        <v>100.00000000000001</v>
      </c>
      <c r="D56" s="7"/>
      <c r="E56" s="7"/>
      <c r="F56" s="7"/>
      <c r="G56" s="7"/>
      <c r="H56" s="7"/>
      <c r="I56" s="7"/>
      <c r="J56" s="7"/>
      <c r="K56" s="7"/>
      <c r="L56" s="7"/>
      <c r="M56" s="7"/>
      <c r="N56" s="7"/>
      <c r="O56" s="7"/>
      <c r="P56" s="10"/>
    </row>
    <row r="57" spans="1:16" ht="13" thickBot="1" x14ac:dyDescent="0.3">
      <c r="A57" s="188" t="s">
        <v>54</v>
      </c>
      <c r="B57" s="228">
        <v>0</v>
      </c>
      <c r="C57" s="228">
        <f t="shared" si="10"/>
        <v>100.00000000000001</v>
      </c>
      <c r="D57" s="7"/>
      <c r="E57" s="7"/>
      <c r="F57" s="7"/>
      <c r="G57" s="7"/>
      <c r="H57" s="7"/>
      <c r="I57" s="7"/>
      <c r="J57" s="7"/>
      <c r="K57" s="7"/>
      <c r="L57" s="7"/>
      <c r="M57" s="7"/>
      <c r="N57" s="7"/>
      <c r="O57" s="7"/>
      <c r="P57" s="10"/>
    </row>
    <row r="58" spans="1:16" ht="13" thickBot="1" x14ac:dyDescent="0.3">
      <c r="A58" s="188" t="s">
        <v>51</v>
      </c>
      <c r="B58" s="228">
        <v>0</v>
      </c>
      <c r="C58" s="228">
        <f t="shared" si="10"/>
        <v>100.00000000000001</v>
      </c>
      <c r="D58" s="7"/>
      <c r="E58" s="7"/>
      <c r="F58" s="7"/>
      <c r="G58" s="7"/>
      <c r="H58" s="7"/>
      <c r="I58" s="7"/>
      <c r="J58" s="7"/>
      <c r="K58" s="7"/>
      <c r="L58" s="7"/>
      <c r="M58" s="7"/>
      <c r="N58" s="7"/>
      <c r="O58" s="7"/>
    </row>
    <row r="59" spans="1:16" ht="13" thickBot="1" x14ac:dyDescent="0.3">
      <c r="A59" s="188" t="s">
        <v>56</v>
      </c>
      <c r="B59" s="228">
        <v>0</v>
      </c>
      <c r="C59" s="228">
        <f t="shared" si="10"/>
        <v>100.00000000000001</v>
      </c>
      <c r="D59" s="7"/>
      <c r="E59" s="7"/>
      <c r="F59" s="7"/>
      <c r="G59" s="7"/>
      <c r="H59" s="7"/>
      <c r="I59" s="7"/>
      <c r="J59" s="7"/>
      <c r="K59" s="7"/>
      <c r="L59" s="7"/>
      <c r="M59" s="7"/>
      <c r="N59" s="7"/>
      <c r="O59" s="7"/>
    </row>
    <row r="60" spans="1:16" ht="13" thickBot="1" x14ac:dyDescent="0.3">
      <c r="A60" s="189" t="s">
        <v>57</v>
      </c>
      <c r="B60" s="228">
        <v>0</v>
      </c>
      <c r="C60" s="228">
        <f t="shared" si="10"/>
        <v>100.00000000000001</v>
      </c>
      <c r="D60" s="7"/>
      <c r="E60" s="7"/>
      <c r="F60" s="7"/>
      <c r="G60" s="7"/>
      <c r="H60" s="7"/>
      <c r="I60" s="7"/>
      <c r="J60" s="7"/>
      <c r="K60" s="7"/>
      <c r="L60" s="7"/>
      <c r="M60" s="7"/>
      <c r="N60" s="7"/>
      <c r="O60" s="7"/>
    </row>
    <row r="61" spans="1:16" x14ac:dyDescent="0.25">
      <c r="A61" s="7"/>
      <c r="B61" s="7"/>
      <c r="C61" s="7"/>
      <c r="D61" s="7"/>
      <c r="E61" s="7"/>
      <c r="F61" s="7"/>
      <c r="G61" s="7"/>
      <c r="H61" s="7"/>
      <c r="I61" s="7"/>
      <c r="J61" s="7"/>
      <c r="K61" s="7"/>
      <c r="L61" s="7"/>
      <c r="M61" s="7"/>
      <c r="N61" s="7"/>
      <c r="O61" s="7"/>
    </row>
    <row r="62" spans="1:16" x14ac:dyDescent="0.25">
      <c r="A62" s="7"/>
      <c r="B62" s="7"/>
      <c r="C62" s="7"/>
      <c r="D62" s="7"/>
      <c r="E62" s="7"/>
      <c r="F62" s="7"/>
      <c r="G62" s="7"/>
      <c r="H62" s="7"/>
      <c r="I62" s="7"/>
      <c r="J62" s="7"/>
      <c r="K62" s="7"/>
      <c r="L62" s="7"/>
      <c r="M62" s="7"/>
      <c r="N62" s="7"/>
      <c r="O62" s="7"/>
    </row>
    <row r="63" spans="1:16" x14ac:dyDescent="0.25">
      <c r="A63" s="7"/>
      <c r="B63" s="7"/>
      <c r="C63" s="7"/>
      <c r="D63" s="7"/>
      <c r="E63" s="7"/>
      <c r="F63" s="7"/>
      <c r="G63" s="7"/>
      <c r="H63" s="7"/>
      <c r="I63" s="7"/>
      <c r="J63" s="7"/>
      <c r="K63" s="7"/>
      <c r="L63" s="7"/>
      <c r="M63" s="7"/>
      <c r="N63" s="7"/>
      <c r="O63" s="7"/>
    </row>
    <row r="64" spans="1:16" x14ac:dyDescent="0.25">
      <c r="A64" s="7"/>
      <c r="B64" s="7"/>
      <c r="C64" s="7"/>
      <c r="D64" s="7"/>
      <c r="E64" s="7"/>
      <c r="F64" s="7"/>
      <c r="G64" s="7"/>
      <c r="H64" s="7"/>
      <c r="I64" s="7"/>
      <c r="J64" s="7"/>
      <c r="K64" s="7"/>
      <c r="L64" s="7"/>
      <c r="M64" s="7"/>
      <c r="N64" s="7"/>
      <c r="O64" s="7"/>
    </row>
    <row r="65" spans="1:15" x14ac:dyDescent="0.25">
      <c r="A65" s="7"/>
      <c r="B65" s="7"/>
      <c r="C65" s="7"/>
      <c r="D65" s="7"/>
      <c r="E65" s="7"/>
      <c r="F65" s="7"/>
      <c r="G65" s="7"/>
      <c r="H65" s="7"/>
      <c r="I65" s="7"/>
      <c r="J65" s="7"/>
      <c r="K65" s="7"/>
      <c r="L65" s="7"/>
      <c r="M65" s="7"/>
      <c r="N65" s="7"/>
      <c r="O65" s="7"/>
    </row>
    <row r="66" spans="1:15" x14ac:dyDescent="0.25">
      <c r="A66" s="7"/>
      <c r="B66" s="7"/>
      <c r="C66" s="7"/>
      <c r="D66" s="7"/>
      <c r="E66" s="7"/>
      <c r="F66" s="7"/>
      <c r="G66" s="7"/>
      <c r="H66" s="7"/>
      <c r="I66" s="7"/>
      <c r="J66" s="7"/>
      <c r="K66" s="7"/>
      <c r="L66" s="7"/>
      <c r="M66" s="7"/>
      <c r="N66" s="7"/>
      <c r="O66" s="7"/>
    </row>
  </sheetData>
  <sheetProtection sheet="1" objects="1" scenarios="1"/>
  <sortState xmlns:xlrd2="http://schemas.microsoft.com/office/spreadsheetml/2017/richdata2" ref="A51:B60">
    <sortCondition descending="1" ref="B60"/>
  </sortState>
  <customSheetViews>
    <customSheetView guid="{D77630C3-E566-49F3-BD2C-D3992F8DF201}" showPageBreaks="1" printArea="1" showRuler="0">
      <selection activeCell="I25" sqref="I25"/>
      <rowBreaks count="1" manualBreakCount="1">
        <brk id="37" max="15" man="1"/>
      </rowBreaks>
      <colBreaks count="2" manualBreakCount="2">
        <brk id="12" max="60" man="1"/>
        <brk id="16" max="60" man="1"/>
      </colBreaks>
      <pageMargins left="0.2" right="0.24" top="0.28000000000000003" bottom="0.27" header="0.2" footer="0.21"/>
      <printOptions headings="1"/>
      <pageSetup paperSize="9" scale="81" orientation="portrait" horizontalDpi="200" r:id="rId1"/>
      <headerFooter alignWithMargins="0">
        <oddHeader>&amp;C&amp;"Arial,Bold"MAP</oddHeader>
        <oddFooter>&amp;L&amp;"Times New Roman,Regular"PM-04-01
Ver 3.0/ 25-Sep-03&amp;C&amp;9© L&amp;&amp;T Infotech
For Internal Use Only&amp;R&amp;9&amp;P of &amp;N</oddFooter>
      </headerFooter>
    </customSheetView>
    <customSheetView guid="{99472ED2-59D2-11D7-A477-0010B5BCD3CB}" hiddenRows="1" showRuler="0" topLeftCell="A26">
      <selection activeCell="B40" sqref="B40"/>
      <pageMargins left="0.75" right="0.75" top="1" bottom="1" header="0.5" footer="0.5"/>
      <pageSetup orientation="portrait" horizontalDpi="200" r:id="rId2"/>
      <headerFooter alignWithMargins="0">
        <oddHeader>&amp;LMX011T/2.6/09.07.2002&amp;C&amp;"Times New Roman,Bold"MAP</oddHeader>
        <oddFooter>&amp;LL&amp;&amp;T Infotech&amp;C&amp;F&amp;R&amp;P of &amp;N</oddFooter>
      </headerFooter>
    </customSheetView>
  </customSheetViews>
  <mergeCells count="22">
    <mergeCell ref="L15:L17"/>
    <mergeCell ref="M15:M17"/>
    <mergeCell ref="B2:D2"/>
    <mergeCell ref="I15:I17"/>
    <mergeCell ref="J15:J17"/>
    <mergeCell ref="K15:K17"/>
    <mergeCell ref="K10:K13"/>
    <mergeCell ref="J10:J13"/>
    <mergeCell ref="F2:J2"/>
    <mergeCell ref="A6:H6"/>
    <mergeCell ref="I6:O6"/>
    <mergeCell ref="B7:H7"/>
    <mergeCell ref="I10:I13"/>
    <mergeCell ref="M10:M13"/>
    <mergeCell ref="I7:O7"/>
    <mergeCell ref="L10:L13"/>
    <mergeCell ref="B40:L40"/>
    <mergeCell ref="M40:M41"/>
    <mergeCell ref="N40:N41"/>
    <mergeCell ref="A28:H28"/>
    <mergeCell ref="J28:L28"/>
    <mergeCell ref="A39:M39"/>
  </mergeCells>
  <phoneticPr fontId="0" type="noConversion"/>
  <conditionalFormatting sqref="M21:M22">
    <cfRule type="cellIs" dxfId="8" priority="1" stopIfTrue="1" operator="equal">
      <formula>"Hi"</formula>
    </cfRule>
    <cfRule type="cellIs" dxfId="7" priority="2" stopIfTrue="1" operator="equal">
      <formula>"Lo"</formula>
    </cfRule>
  </conditionalFormatting>
  <conditionalFormatting sqref="M9:M17 M19">
    <cfRule type="cellIs" dxfId="6" priority="3" stopIfTrue="1" operator="equal">
      <formula>"Hi"</formula>
    </cfRule>
    <cfRule type="cellIs" dxfId="5" priority="4" stopIfTrue="1" operator="equal">
      <formula>"Lo"</formula>
    </cfRule>
  </conditionalFormatting>
  <conditionalFormatting sqref="F37">
    <cfRule type="cellIs" dxfId="4" priority="5" stopIfTrue="1" operator="notEqual">
      <formula>$M$46</formula>
    </cfRule>
  </conditionalFormatting>
  <dataValidations count="4">
    <dataValidation type="whole" allowBlank="1" showInputMessage="1" showErrorMessage="1" sqref="B19:G19 B21:G21 L30 K30:K36 B51:B60 C51" xr:uid="{00000000-0002-0000-0200-000000000000}">
      <formula1>0</formula1>
      <formula2>100000</formula2>
    </dataValidation>
    <dataValidation type="whole" allowBlank="1" showInputMessage="1" showErrorMessage="1" error="Enter value in whole number only" sqref="B20:G20 B9:G18 B30:E36 B42:L45" xr:uid="{00000000-0002-0000-0200-000001000000}">
      <formula1>0</formula1>
      <formula2>100000</formula2>
    </dataValidation>
    <dataValidation type="decimal" operator="greaterThanOrEqual" allowBlank="1" showInputMessage="1" showErrorMessage="1" sqref="F4:I4" xr:uid="{00000000-0002-0000-0200-000002000000}">
      <formula1>0</formula1>
    </dataValidation>
    <dataValidation operator="equal" allowBlank="1" showInputMessage="1" showErrorMessage="1" sqref="J19:L19" xr:uid="{00000000-0002-0000-0200-000003000000}"/>
  </dataValidations>
  <hyperlinks>
    <hyperlink ref="N8" location="'Causal analysis'!A1" display="'Causal analysis'!A1" xr:uid="{00000000-0004-0000-0200-000000000000}"/>
  </hyperlinks>
  <printOptions horizontalCentered="1"/>
  <pageMargins left="0.2" right="0.24" top="0.53" bottom="0.52" header="0.2" footer="0.21"/>
  <pageSetup paperSize="9" scale="71" orientation="portrait" r:id="rId3"/>
  <headerFooter alignWithMargins="0">
    <oddHeader>&amp;C&amp;"Arial,Bold"&amp;9Metrics Action Plan</oddHeader>
    <oddFooter>&amp;L&amp;8PM-04-01
Ver 4.01/ 29-Sep-04&amp;C&amp;"Arial,Bold"&amp;9© L&amp;&amp;T Infotech Internal Use&amp;R&amp;9&amp;P of &amp;N</oddFooter>
  </headerFooter>
  <rowBreaks count="1" manualBreakCount="1">
    <brk id="37" max="14" man="1"/>
  </rowBreaks>
  <drawing r:id="rId4"/>
  <legacyDrawing r:id="rId5"/>
  <mc:AlternateContent xmlns:mc="http://schemas.openxmlformats.org/markup-compatibility/2006">
    <mc:Choice Requires="x14">
      <controls>
        <mc:AlternateContent xmlns:mc="http://schemas.openxmlformats.org/markup-compatibility/2006">
          <mc:Choice Requires="x14">
            <control shapeId="26686" r:id="rId6" name="Button 62">
              <controlPr defaultSize="0" print="0" autoFill="0" autoPict="0" macro="[0]!RefreshParetoCausewise">
                <anchor moveWithCells="1" sizeWithCells="1">
                  <from>
                    <xdr:col>11</xdr:col>
                    <xdr:colOff>76200</xdr:colOff>
                    <xdr:row>46</xdr:row>
                    <xdr:rowOff>107950</xdr:rowOff>
                  </from>
                  <to>
                    <xdr:col>13</xdr:col>
                    <xdr:colOff>234950</xdr:colOff>
                    <xdr:row>47</xdr:row>
                    <xdr:rowOff>279400</xdr:rowOff>
                  </to>
                </anchor>
              </controlPr>
            </control>
          </mc:Choice>
        </mc:AlternateContent>
        <mc:AlternateContent xmlns:mc="http://schemas.openxmlformats.org/markup-compatibility/2006">
          <mc:Choice Requires="x14">
            <control shapeId="26873" r:id="rId7" name="Button 249">
              <controlPr defaultSize="0" print="0" autoFill="0" autoPict="0" macro="[0]!RefreshParetoCausewise">
                <anchor moveWithCells="1" sizeWithCells="1">
                  <from>
                    <xdr:col>9</xdr:col>
                    <xdr:colOff>0</xdr:colOff>
                    <xdr:row>20</xdr:row>
                    <xdr:rowOff>336550</xdr:rowOff>
                  </from>
                  <to>
                    <xdr:col>11</xdr:col>
                    <xdr:colOff>114300</xdr:colOff>
                    <xdr:row>21</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D45"/>
  <sheetViews>
    <sheetView showGridLines="0" topLeftCell="A16" zoomScaleNormal="50" zoomScaleSheetLayoutView="90" workbookViewId="0">
      <selection activeCell="C23" sqref="C23"/>
    </sheetView>
  </sheetViews>
  <sheetFormatPr defaultColWidth="9.08984375" defaultRowHeight="11.5" x14ac:dyDescent="0.25"/>
  <cols>
    <col min="1" max="1" width="9.54296875" style="80" customWidth="1"/>
    <col min="2" max="2" width="74.90625" style="80" customWidth="1"/>
    <col min="3" max="3" width="18.54296875" style="80" customWidth="1"/>
    <col min="4" max="4" width="6.90625" style="80" customWidth="1"/>
    <col min="5" max="16384" width="9.08984375" style="80"/>
  </cols>
  <sheetData>
    <row r="1" spans="1:4" s="105" customFormat="1" ht="23.25" customHeight="1" x14ac:dyDescent="0.25">
      <c r="A1" s="404" t="s">
        <v>375</v>
      </c>
      <c r="B1" s="404"/>
      <c r="C1" s="404"/>
      <c r="D1" s="404"/>
    </row>
    <row r="2" spans="1:4" s="105" customFormat="1" ht="22.5" customHeight="1" x14ac:dyDescent="0.25">
      <c r="A2" s="258" t="s">
        <v>186</v>
      </c>
      <c r="B2" s="259" t="s">
        <v>365</v>
      </c>
      <c r="C2" s="258" t="s">
        <v>366</v>
      </c>
      <c r="D2" s="106"/>
    </row>
    <row r="3" spans="1:4" s="105" customFormat="1" ht="23.25" customHeight="1" x14ac:dyDescent="0.25">
      <c r="A3" s="260">
        <v>1</v>
      </c>
      <c r="B3" s="261" t="s">
        <v>367</v>
      </c>
      <c r="C3" s="262" t="s">
        <v>8</v>
      </c>
      <c r="D3" s="106"/>
    </row>
    <row r="4" spans="1:4" s="105" customFormat="1" ht="27.75" customHeight="1" x14ac:dyDescent="0.25">
      <c r="A4" s="260">
        <v>2</v>
      </c>
      <c r="B4" s="261" t="s">
        <v>368</v>
      </c>
      <c r="C4" s="263">
        <v>50</v>
      </c>
      <c r="D4" s="106"/>
    </row>
    <row r="5" spans="1:4" s="105" customFormat="1" ht="22.5" customHeight="1" x14ac:dyDescent="0.25">
      <c r="A5" s="260">
        <v>3</v>
      </c>
      <c r="B5" s="261" t="s">
        <v>369</v>
      </c>
      <c r="C5" s="264">
        <v>100</v>
      </c>
      <c r="D5" s="106"/>
    </row>
    <row r="6" spans="1:4" s="105" customFormat="1" ht="27" customHeight="1" x14ac:dyDescent="0.25">
      <c r="A6" s="260">
        <v>4</v>
      </c>
      <c r="B6" s="261" t="s">
        <v>370</v>
      </c>
      <c r="C6" s="265">
        <v>50</v>
      </c>
      <c r="D6" s="106"/>
    </row>
    <row r="7" spans="1:4" s="105" customFormat="1" ht="41.25" customHeight="1" x14ac:dyDescent="0.25">
      <c r="A7" s="260">
        <v>5</v>
      </c>
      <c r="B7" s="261" t="s">
        <v>371</v>
      </c>
      <c r="C7" s="266">
        <v>51</v>
      </c>
      <c r="D7" s="106"/>
    </row>
    <row r="8" spans="1:4" s="106" customFormat="1" ht="10.5" x14ac:dyDescent="0.25"/>
    <row r="9" spans="1:4" s="110" customFormat="1" x14ac:dyDescent="0.25">
      <c r="A9" s="111" t="s">
        <v>233</v>
      </c>
      <c r="B9" s="112" t="s">
        <v>234</v>
      </c>
      <c r="C9" s="112" t="s">
        <v>235</v>
      </c>
      <c r="D9" s="112" t="s">
        <v>36</v>
      </c>
    </row>
    <row r="10" spans="1:4" ht="103.5" x14ac:dyDescent="0.25">
      <c r="A10" s="405" t="s">
        <v>32</v>
      </c>
      <c r="B10" s="113" t="s">
        <v>274</v>
      </c>
      <c r="C10" s="114" t="s">
        <v>236</v>
      </c>
      <c r="D10" s="114" t="s">
        <v>237</v>
      </c>
    </row>
    <row r="11" spans="1:4" ht="23" x14ac:dyDescent="0.25">
      <c r="A11" s="406"/>
      <c r="B11" s="114" t="s">
        <v>238</v>
      </c>
      <c r="C11" s="114" t="s">
        <v>239</v>
      </c>
      <c r="D11" s="114" t="s">
        <v>107</v>
      </c>
    </row>
    <row r="12" spans="1:4" ht="23" x14ac:dyDescent="0.25">
      <c r="A12" s="407"/>
      <c r="B12" s="113" t="s">
        <v>269</v>
      </c>
      <c r="C12" s="114" t="s">
        <v>240</v>
      </c>
      <c r="D12" s="114" t="s">
        <v>241</v>
      </c>
    </row>
    <row r="13" spans="1:4" ht="23" x14ac:dyDescent="0.25">
      <c r="A13" s="405" t="s">
        <v>242</v>
      </c>
      <c r="B13" s="113" t="s">
        <v>270</v>
      </c>
      <c r="C13" s="114" t="s">
        <v>236</v>
      </c>
      <c r="D13" s="114" t="s">
        <v>243</v>
      </c>
    </row>
    <row r="14" spans="1:4" ht="23" x14ac:dyDescent="0.25">
      <c r="A14" s="406"/>
      <c r="B14" s="113" t="s">
        <v>271</v>
      </c>
      <c r="C14" s="114" t="s">
        <v>236</v>
      </c>
      <c r="D14" s="114" t="s">
        <v>243</v>
      </c>
    </row>
    <row r="15" spans="1:4" x14ac:dyDescent="0.25">
      <c r="A15" s="406"/>
      <c r="B15" s="113" t="s">
        <v>244</v>
      </c>
      <c r="C15" s="408" t="s">
        <v>245</v>
      </c>
      <c r="D15" s="408" t="s">
        <v>243</v>
      </c>
    </row>
    <row r="16" spans="1:4" ht="103.5" x14ac:dyDescent="0.25">
      <c r="A16" s="406"/>
      <c r="B16" s="114" t="s">
        <v>275</v>
      </c>
      <c r="C16" s="409"/>
      <c r="D16" s="409"/>
    </row>
    <row r="17" spans="1:4" ht="57.5" x14ac:dyDescent="0.25">
      <c r="A17" s="406"/>
      <c r="B17" s="114" t="s">
        <v>246</v>
      </c>
      <c r="C17" s="410"/>
      <c r="D17" s="410"/>
    </row>
    <row r="18" spans="1:4" ht="23" x14ac:dyDescent="0.25">
      <c r="A18" s="407"/>
      <c r="B18" s="114" t="s">
        <v>247</v>
      </c>
      <c r="C18" s="114" t="s">
        <v>248</v>
      </c>
      <c r="D18" s="114" t="s">
        <v>243</v>
      </c>
    </row>
    <row r="19" spans="1:4" x14ac:dyDescent="0.25">
      <c r="A19" s="411" t="s">
        <v>25</v>
      </c>
      <c r="B19" s="115" t="s">
        <v>249</v>
      </c>
      <c r="C19" s="115" t="s">
        <v>250</v>
      </c>
      <c r="D19" s="115" t="s">
        <v>251</v>
      </c>
    </row>
    <row r="20" spans="1:4" ht="23" x14ac:dyDescent="0.25">
      <c r="A20" s="412"/>
      <c r="B20" s="115" t="s">
        <v>252</v>
      </c>
      <c r="C20" s="115" t="s">
        <v>250</v>
      </c>
      <c r="D20" s="115"/>
    </row>
    <row r="21" spans="1:4" x14ac:dyDescent="0.25">
      <c r="A21" s="412"/>
      <c r="B21" s="115" t="s">
        <v>253</v>
      </c>
      <c r="C21" s="115" t="s">
        <v>250</v>
      </c>
      <c r="D21" s="115" t="s">
        <v>251</v>
      </c>
    </row>
    <row r="22" spans="1:4" ht="23" x14ac:dyDescent="0.25">
      <c r="A22" s="413"/>
      <c r="B22" s="115" t="s">
        <v>254</v>
      </c>
      <c r="C22" s="115"/>
      <c r="D22" s="115"/>
    </row>
    <row r="23" spans="1:4" ht="46" x14ac:dyDescent="0.25">
      <c r="A23" s="405" t="s">
        <v>255</v>
      </c>
      <c r="B23" s="113" t="s">
        <v>276</v>
      </c>
      <c r="C23" s="114" t="s">
        <v>256</v>
      </c>
      <c r="D23" s="114" t="s">
        <v>257</v>
      </c>
    </row>
    <row r="24" spans="1:4" ht="23" x14ac:dyDescent="0.25">
      <c r="A24" s="406"/>
      <c r="B24" s="113" t="s">
        <v>272</v>
      </c>
      <c r="C24" s="114" t="s">
        <v>258</v>
      </c>
      <c r="D24" s="114" t="s">
        <v>257</v>
      </c>
    </row>
    <row r="25" spans="1:4" ht="23" x14ac:dyDescent="0.25">
      <c r="A25" s="407"/>
      <c r="B25" s="113" t="s">
        <v>273</v>
      </c>
      <c r="C25" s="114" t="s">
        <v>259</v>
      </c>
      <c r="D25" s="114" t="s">
        <v>257</v>
      </c>
    </row>
    <row r="26" spans="1:4" ht="46" x14ac:dyDescent="0.25">
      <c r="A26" s="116" t="s">
        <v>260</v>
      </c>
      <c r="B26" s="114" t="s">
        <v>277</v>
      </c>
      <c r="C26" s="114" t="s">
        <v>261</v>
      </c>
      <c r="D26" s="114" t="s">
        <v>257</v>
      </c>
    </row>
    <row r="27" spans="1:4" ht="57.5" x14ac:dyDescent="0.25">
      <c r="A27" s="116" t="s">
        <v>162</v>
      </c>
      <c r="B27" s="114" t="s">
        <v>262</v>
      </c>
      <c r="C27" s="115" t="s">
        <v>245</v>
      </c>
      <c r="D27" s="114" t="s">
        <v>372</v>
      </c>
    </row>
    <row r="28" spans="1:4" ht="34.5" x14ac:dyDescent="0.25">
      <c r="A28" s="116" t="s">
        <v>263</v>
      </c>
      <c r="B28" s="114" t="s">
        <v>264</v>
      </c>
      <c r="C28" s="115" t="s">
        <v>245</v>
      </c>
      <c r="D28" s="114" t="s">
        <v>372</v>
      </c>
    </row>
    <row r="29" spans="1:4" ht="69" x14ac:dyDescent="0.25">
      <c r="A29" s="116" t="s">
        <v>265</v>
      </c>
      <c r="B29" s="114" t="s">
        <v>266</v>
      </c>
      <c r="C29" s="115" t="s">
        <v>245</v>
      </c>
      <c r="D29" s="114" t="s">
        <v>372</v>
      </c>
    </row>
    <row r="30" spans="1:4" ht="46" x14ac:dyDescent="0.25">
      <c r="A30" s="117" t="s">
        <v>267</v>
      </c>
      <c r="B30" s="118" t="s">
        <v>268</v>
      </c>
      <c r="C30" s="119" t="s">
        <v>245</v>
      </c>
      <c r="D30" s="114" t="s">
        <v>372</v>
      </c>
    </row>
    <row r="31" spans="1:4" x14ac:dyDescent="0.25">
      <c r="A31" s="120"/>
      <c r="B31" s="120"/>
      <c r="C31" s="120"/>
      <c r="D31" s="120"/>
    </row>
    <row r="32" spans="1:4" x14ac:dyDescent="0.25">
      <c r="A32" s="120"/>
      <c r="B32" s="120"/>
      <c r="C32" s="120"/>
      <c r="D32" s="120"/>
    </row>
    <row r="33" spans="1:4" x14ac:dyDescent="0.25">
      <c r="A33" s="120"/>
      <c r="B33" s="120"/>
      <c r="C33" s="120"/>
      <c r="D33" s="120"/>
    </row>
    <row r="34" spans="1:4" x14ac:dyDescent="0.25">
      <c r="A34" s="120"/>
      <c r="B34" s="120"/>
      <c r="C34" s="120"/>
      <c r="D34" s="120"/>
    </row>
    <row r="35" spans="1:4" x14ac:dyDescent="0.25">
      <c r="A35" s="120"/>
      <c r="B35" s="120"/>
      <c r="C35" s="120"/>
      <c r="D35" s="120"/>
    </row>
    <row r="36" spans="1:4" x14ac:dyDescent="0.25">
      <c r="A36" s="120"/>
      <c r="B36" s="120"/>
      <c r="C36" s="120"/>
      <c r="D36" s="120"/>
    </row>
    <row r="37" spans="1:4" x14ac:dyDescent="0.25">
      <c r="A37" s="120"/>
      <c r="B37" s="120"/>
      <c r="C37" s="120"/>
      <c r="D37" s="120"/>
    </row>
    <row r="38" spans="1:4" x14ac:dyDescent="0.25">
      <c r="A38" s="120"/>
      <c r="B38" s="120"/>
      <c r="C38" s="120"/>
      <c r="D38" s="120"/>
    </row>
    <row r="39" spans="1:4" x14ac:dyDescent="0.25">
      <c r="A39" s="120"/>
      <c r="B39" s="120"/>
      <c r="C39" s="120"/>
      <c r="D39" s="120"/>
    </row>
    <row r="40" spans="1:4" x14ac:dyDescent="0.25">
      <c r="A40" s="120"/>
      <c r="B40" s="120"/>
      <c r="C40" s="120"/>
      <c r="D40" s="120"/>
    </row>
    <row r="41" spans="1:4" x14ac:dyDescent="0.25">
      <c r="A41" s="120"/>
      <c r="B41" s="120"/>
      <c r="C41" s="120"/>
      <c r="D41" s="120"/>
    </row>
    <row r="42" spans="1:4" x14ac:dyDescent="0.25">
      <c r="A42" s="120"/>
      <c r="B42" s="120"/>
      <c r="C42" s="120"/>
      <c r="D42" s="120"/>
    </row>
    <row r="43" spans="1:4" x14ac:dyDescent="0.25">
      <c r="A43" s="120"/>
      <c r="B43" s="120"/>
      <c r="C43" s="120"/>
      <c r="D43" s="120"/>
    </row>
    <row r="44" spans="1:4" x14ac:dyDescent="0.25">
      <c r="A44" s="120"/>
      <c r="B44" s="120"/>
      <c r="C44" s="120"/>
      <c r="D44" s="120"/>
    </row>
    <row r="45" spans="1:4" x14ac:dyDescent="0.25">
      <c r="A45" s="120"/>
      <c r="B45" s="120"/>
      <c r="C45" s="120"/>
      <c r="D45" s="120"/>
    </row>
  </sheetData>
  <sheetProtection sheet="1" objects="1" scenarios="1"/>
  <mergeCells count="7">
    <mergeCell ref="A1:D1"/>
    <mergeCell ref="A23:A25"/>
    <mergeCell ref="A13:A18"/>
    <mergeCell ref="C15:C17"/>
    <mergeCell ref="D15:D17"/>
    <mergeCell ref="A19:A22"/>
    <mergeCell ref="A10:A12"/>
  </mergeCells>
  <phoneticPr fontId="0" type="noConversion"/>
  <dataValidations count="2">
    <dataValidation type="whole" allowBlank="1" showInputMessage="1" showErrorMessage="1" error="Enter value in whole number only" sqref="C5" xr:uid="{00000000-0002-0000-0300-000000000000}">
      <formula1>0</formula1>
      <formula2>100000</formula2>
    </dataValidation>
    <dataValidation allowBlank="1" showErrorMessage="1" error="Enter Person Days only, in multiples of 0.5 Man Days" prompt="Efforts from Post-construction estimate" sqref="C6:C7" xr:uid="{00000000-0002-0000-0300-000001000000}"/>
  </dataValidations>
  <printOptions horizontalCentered="1"/>
  <pageMargins left="0.2" right="0.24" top="0.53" bottom="0.52" header="0.2" footer="0.21"/>
  <pageSetup paperSize="9" scale="74" orientation="portrait" r:id="rId1"/>
  <headerFooter alignWithMargins="0">
    <oddHeader>&amp;C&amp;"Arial,Bold"&amp;9Metrics Action Plan</oddHeader>
    <oddFooter>&amp;L&amp;8PM-04-01
Ver 4.01/ 29-Sep-04&amp;C&amp;"Arial,Bold"&amp;9© L&amp;&amp;T Infotech Internal Use&amp;R&amp;9&amp;P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U44"/>
  <sheetViews>
    <sheetView showGridLines="0" topLeftCell="A10" zoomScale="90" zoomScaleNormal="90" workbookViewId="0">
      <selection activeCell="D22" sqref="D22:D24"/>
    </sheetView>
  </sheetViews>
  <sheetFormatPr defaultColWidth="9.08984375" defaultRowHeight="12.5" x14ac:dyDescent="0.25"/>
  <cols>
    <col min="1" max="1" width="24.90625" style="28" customWidth="1"/>
    <col min="2" max="2" width="10" style="28" bestFit="1" customWidth="1"/>
    <col min="3" max="3" width="9.6328125" style="28" customWidth="1"/>
    <col min="4" max="4" width="7" style="30" customWidth="1"/>
    <col min="5" max="5" width="8.453125" style="30" customWidth="1"/>
    <col min="6" max="6" width="7.90625" style="30" customWidth="1"/>
    <col min="7" max="7" width="8.54296875" style="28" customWidth="1"/>
    <col min="8" max="8" width="10.36328125" style="28" customWidth="1"/>
    <col min="9" max="9" width="13.54296875" style="28" customWidth="1"/>
    <col min="10" max="10" width="9.6328125" style="28" customWidth="1"/>
    <col min="11" max="16384" width="9.08984375" style="28"/>
  </cols>
  <sheetData>
    <row r="1" spans="1:11" s="11" customFormat="1" ht="3.75" customHeight="1" x14ac:dyDescent="0.25">
      <c r="D1" s="29"/>
      <c r="E1" s="29"/>
      <c r="F1" s="29"/>
    </row>
    <row r="2" spans="1:11" s="65" customFormat="1" ht="15.5" x14ac:dyDescent="0.25">
      <c r="A2" s="414" t="s">
        <v>31</v>
      </c>
      <c r="B2" s="414"/>
      <c r="C2" s="414"/>
      <c r="D2" s="414"/>
      <c r="E2" s="414"/>
      <c r="F2" s="414"/>
      <c r="G2" s="64" t="s">
        <v>383</v>
      </c>
      <c r="I2" s="66"/>
      <c r="J2" s="66"/>
      <c r="K2" s="66"/>
    </row>
    <row r="3" spans="1:11" s="11" customFormat="1" ht="4.5" customHeight="1" thickBot="1" x14ac:dyDescent="0.3">
      <c r="I3" s="27"/>
      <c r="J3" s="27"/>
      <c r="K3" s="27"/>
    </row>
    <row r="4" spans="1:11" s="11" customFormat="1" ht="20.25" customHeight="1" x14ac:dyDescent="0.25">
      <c r="A4" s="366" t="s">
        <v>105</v>
      </c>
      <c r="B4" s="367"/>
      <c r="C4" s="367"/>
      <c r="D4" s="367"/>
      <c r="E4" s="367"/>
      <c r="F4" s="367"/>
      <c r="G4" s="367"/>
      <c r="H4" s="367"/>
      <c r="I4" s="368"/>
      <c r="J4" s="27"/>
      <c r="K4" s="27"/>
    </row>
    <row r="5" spans="1:11" s="33" customFormat="1" ht="27" customHeight="1" thickBot="1" x14ac:dyDescent="0.3">
      <c r="A5" s="194"/>
      <c r="B5" s="82" t="s">
        <v>28</v>
      </c>
      <c r="C5" s="82" t="s">
        <v>36</v>
      </c>
      <c r="D5" s="82" t="s">
        <v>29</v>
      </c>
      <c r="E5" s="82" t="s">
        <v>12</v>
      </c>
      <c r="F5" s="82" t="s">
        <v>22</v>
      </c>
      <c r="G5" s="83" t="s">
        <v>23</v>
      </c>
      <c r="H5" s="84" t="s">
        <v>173</v>
      </c>
      <c r="I5" s="200" t="s">
        <v>46</v>
      </c>
      <c r="J5" s="32"/>
      <c r="K5" s="32"/>
    </row>
    <row r="6" spans="1:11" s="94" customFormat="1" ht="26.25" customHeight="1" thickBot="1" x14ac:dyDescent="0.3">
      <c r="A6" s="156" t="s">
        <v>196</v>
      </c>
      <c r="B6" s="87">
        <f>IF('Project Info'!H27="","",IF(ISERROR(('Project Info'!H27-'Project Info'!D20)/'Project Info'!D20*100),"",('Project Info'!H27-'Project Info'!D20)/'Project Info'!D20*100))</f>
        <v>-94.128205128205138</v>
      </c>
      <c r="C6" s="82" t="s">
        <v>27</v>
      </c>
      <c r="D6" s="42">
        <f>IF('Project Info'!I$7="","",'Project Info'!I$7)</f>
        <v>5</v>
      </c>
      <c r="E6" s="42">
        <f>IF('Project Info'!J$7="","",'Project Info'!J$7)</f>
        <v>2</v>
      </c>
      <c r="F6" s="42">
        <f>IF('Project Info'!K$7="","",'Project Info'!K$7)</f>
        <v>7</v>
      </c>
      <c r="G6" s="257" t="str">
        <f>IF($G$2="N","",IF(B6="","",IF(E6="","",IF(F6="","", IF(B6&gt;F6,"Hi",IF(B6&lt;E6,"Lo","Ok"))))))</f>
        <v>Lo</v>
      </c>
      <c r="H6" s="238"/>
      <c r="I6" s="157"/>
    </row>
    <row r="7" spans="1:11" s="35" customFormat="1" ht="4.5" customHeight="1" thickBot="1" x14ac:dyDescent="0.3">
      <c r="A7" s="86"/>
      <c r="B7" s="34"/>
      <c r="C7" s="32"/>
      <c r="D7" s="32"/>
      <c r="E7" s="32"/>
      <c r="F7" s="32"/>
      <c r="G7" s="32"/>
      <c r="H7" s="32"/>
      <c r="I7" s="32"/>
      <c r="J7" s="32"/>
      <c r="K7" s="32"/>
    </row>
    <row r="8" spans="1:11" s="32" customFormat="1" ht="15" customHeight="1" thickBot="1" x14ac:dyDescent="0.3">
      <c r="A8" s="253" t="s">
        <v>42</v>
      </c>
      <c r="B8" s="254">
        <f>IF('Effort and Schedule'!H28="","",IF(ISERROR((1-'Effort and Schedule'!H28/'Effort and Schedule'!D19)*100)," ",((1-'Effort and Schedule'!H28/'Effort and Schedule'!D19)*100)))</f>
        <v>100</v>
      </c>
      <c r="C8" s="255" t="s">
        <v>27</v>
      </c>
      <c r="D8" s="241">
        <v>100</v>
      </c>
      <c r="E8" s="241">
        <v>97</v>
      </c>
      <c r="F8" s="241">
        <v>100</v>
      </c>
      <c r="G8" s="237" t="str">
        <f>IF($G$2="N","",IF(B8="","",IF(E8="","",IF(F8="","", IF(B8&gt;F8,"Hi",IF(B8&lt;E8,"Lo","Ok"))))))</f>
        <v>Ok</v>
      </c>
      <c r="H8" s="238"/>
      <c r="I8" s="239"/>
    </row>
    <row r="9" spans="1:11" s="32" customFormat="1" ht="16.5" customHeight="1" thickBot="1" x14ac:dyDescent="0.3">
      <c r="A9" s="175" t="s">
        <v>152</v>
      </c>
      <c r="B9" s="231">
        <f>IF('Project Info'!H25="","",IF(ISERROR('Project Info'!H26/'Project Info'!H25),"",('Project Info'!H26/'Project Info'!H25*100)))</f>
        <v>30.853110968569595</v>
      </c>
      <c r="C9" s="256" t="s">
        <v>27</v>
      </c>
      <c r="D9" s="54"/>
      <c r="K9" s="53"/>
    </row>
    <row r="10" spans="1:11" s="14" customFormat="1" ht="4.5" customHeight="1" thickBot="1" x14ac:dyDescent="0.3">
      <c r="A10" s="23"/>
      <c r="B10" s="24"/>
      <c r="C10" s="25"/>
      <c r="D10" s="27"/>
      <c r="E10" s="27"/>
      <c r="F10" s="27"/>
      <c r="G10" s="27"/>
      <c r="H10" s="27"/>
      <c r="I10" s="27"/>
      <c r="J10" s="27"/>
      <c r="K10" s="27"/>
    </row>
    <row r="11" spans="1:11" s="11" customFormat="1" ht="18.75" customHeight="1" x14ac:dyDescent="0.25">
      <c r="A11" s="366" t="s">
        <v>106</v>
      </c>
      <c r="B11" s="367"/>
      <c r="C11" s="367"/>
      <c r="D11" s="367"/>
      <c r="E11" s="367"/>
      <c r="F11" s="367"/>
      <c r="G11" s="367"/>
      <c r="H11" s="367"/>
      <c r="I11" s="368"/>
      <c r="J11" s="27"/>
      <c r="K11" s="27"/>
    </row>
    <row r="12" spans="1:11" s="32" customFormat="1" ht="26.25" customHeight="1" thickBot="1" x14ac:dyDescent="0.3">
      <c r="A12" s="240"/>
      <c r="B12" s="82" t="s">
        <v>28</v>
      </c>
      <c r="C12" s="82" t="s">
        <v>36</v>
      </c>
      <c r="D12" s="82" t="s">
        <v>29</v>
      </c>
      <c r="E12" s="82" t="s">
        <v>12</v>
      </c>
      <c r="F12" s="82" t="s">
        <v>22</v>
      </c>
      <c r="G12" s="83" t="s">
        <v>23</v>
      </c>
      <c r="H12" s="84" t="s">
        <v>173</v>
      </c>
      <c r="I12" s="200" t="s">
        <v>46</v>
      </c>
    </row>
    <row r="13" spans="1:11" s="32" customFormat="1" ht="23.5" thickBot="1" x14ac:dyDescent="0.3">
      <c r="A13" s="156" t="s">
        <v>171</v>
      </c>
      <c r="B13" s="42">
        <f>IF('Project Info'!F5="","",IF(ISERROR(('Project Info'!F5-'Project Info'!C6)/('Project Info'!C6-'Project Info'!C5+1)*100), " ", (('Project Info'!F5-'Project Info'!C6)/('Project Info'!C6-'Project Info'!C5+1)*100)))</f>
        <v>0</v>
      </c>
      <c r="C13" s="82" t="s">
        <v>27</v>
      </c>
      <c r="D13" s="42">
        <f>IF('Project Info'!I$5="","",'Project Info'!I$5)</f>
        <v>10</v>
      </c>
      <c r="E13" s="42">
        <f>IF('Project Info'!J$5="","",'Project Info'!J$5)</f>
        <v>5</v>
      </c>
      <c r="F13" s="42">
        <f>IF('Project Info'!K$5="","",'Project Info'!K$5)</f>
        <v>15</v>
      </c>
      <c r="G13" s="127" t="str">
        <f>IF($G$2="N","",IF(B13="","",IF(E13="","",IF(F13="","", IF(B13&gt;F13,"Hi",IF(B13&lt;E13,"Lo","Ok"))))))</f>
        <v>Lo</v>
      </c>
      <c r="H13" s="238"/>
      <c r="I13" s="157"/>
    </row>
    <row r="14" spans="1:11" s="32" customFormat="1" ht="16.5" customHeight="1" thickBot="1" x14ac:dyDescent="0.3">
      <c r="A14" s="175" t="s">
        <v>172</v>
      </c>
      <c r="B14" s="233" t="e">
        <f>IF('Project Info'!#REF!="","",IF(ISERROR(('Project Info'!F5-'Project Info'!#REF!)/('Project Info'!#REF!-'Project Info'!C5+1)*100), " ", ('Project Info'!F5-'Project Info'!#REF!)/('Project Info'!#REF!-'Project Info'!C5+1)*100))</f>
        <v>#REF!</v>
      </c>
      <c r="C14" s="232" t="s">
        <v>27</v>
      </c>
      <c r="D14" s="233">
        <f>IF('Project Info'!I$5="","",'Project Info'!I$5)</f>
        <v>10</v>
      </c>
      <c r="E14" s="233">
        <f>IF('Project Info'!J$5="","",'Project Info'!J$5)</f>
        <v>5</v>
      </c>
      <c r="F14" s="233">
        <f>IF('Project Info'!K$5="","",'Project Info'!K$5)</f>
        <v>15</v>
      </c>
      <c r="G14" s="161" t="e">
        <f>IF($G$2="N","",IF(B14="","",IF(E14="","",IF(F14="","", IF(B14&gt;F14,"Hi",IF(B14&lt;E14,"Lo","Ok"))))))</f>
        <v>#REF!</v>
      </c>
      <c r="H14" s="238"/>
      <c r="I14" s="162"/>
    </row>
    <row r="15" spans="1:11" s="26" customFormat="1" ht="4.5" customHeight="1" thickBot="1" x14ac:dyDescent="0.3">
      <c r="A15" s="11"/>
      <c r="B15" s="11"/>
      <c r="C15" s="11"/>
      <c r="D15" s="11"/>
      <c r="E15" s="11"/>
      <c r="F15" s="11"/>
      <c r="G15" s="11"/>
      <c r="H15" s="11"/>
      <c r="I15" s="11"/>
      <c r="J15" s="27"/>
      <c r="K15" s="27"/>
    </row>
    <row r="16" spans="1:11" s="22" customFormat="1" ht="18" customHeight="1" x14ac:dyDescent="0.25">
      <c r="A16" s="366" t="s">
        <v>64</v>
      </c>
      <c r="B16" s="367"/>
      <c r="C16" s="367"/>
      <c r="D16" s="367"/>
      <c r="E16" s="367"/>
      <c r="F16" s="367"/>
      <c r="G16" s="367"/>
      <c r="H16" s="367"/>
      <c r="I16" s="368"/>
      <c r="J16" s="27"/>
      <c r="K16" s="27"/>
    </row>
    <row r="17" spans="1:21" s="33" customFormat="1" ht="26.25" customHeight="1" thickBot="1" x14ac:dyDescent="0.3">
      <c r="A17" s="194"/>
      <c r="B17" s="82" t="s">
        <v>28</v>
      </c>
      <c r="C17" s="82" t="s">
        <v>36</v>
      </c>
      <c r="D17" s="82" t="s">
        <v>29</v>
      </c>
      <c r="E17" s="82" t="s">
        <v>12</v>
      </c>
      <c r="F17" s="82" t="s">
        <v>22</v>
      </c>
      <c r="G17" s="83" t="s">
        <v>23</v>
      </c>
      <c r="H17" s="84" t="s">
        <v>173</v>
      </c>
      <c r="I17" s="200" t="s">
        <v>46</v>
      </c>
      <c r="J17" s="32"/>
      <c r="K17" s="32"/>
    </row>
    <row r="18" spans="1:21" s="33" customFormat="1" ht="23.5" thickBot="1" x14ac:dyDescent="0.3">
      <c r="A18" s="156" t="s">
        <v>49</v>
      </c>
      <c r="B18" s="42">
        <f>IF(ISERROR(('Effort and Schedule'!C27-'Effort and Schedule'!B27)/'Effort and Schedule'!B27*100),"",('Effort and Schedule'!C27-'Effort and Schedule'!B27)/'Effort and Schedule'!B27*100)</f>
        <v>-96.220937784127798</v>
      </c>
      <c r="C18" s="82" t="s">
        <v>27</v>
      </c>
      <c r="D18" s="322"/>
      <c r="E18" s="322"/>
      <c r="F18" s="322"/>
      <c r="G18" s="127" t="str">
        <f t="shared" ref="G18:G24" si="0">IF($G$2="N","",IF(B18="","",IF(E18="","",IF(F18="","", IF(B18&gt;F18,"Hi",IF(B18&lt;E18,"Lo","Ok"))))))</f>
        <v/>
      </c>
      <c r="H18" s="238"/>
      <c r="I18" s="157"/>
      <c r="J18" s="32"/>
      <c r="K18" s="32"/>
    </row>
    <row r="19" spans="1:21" s="33" customFormat="1" ht="24.75" customHeight="1" thickBot="1" x14ac:dyDescent="0.3">
      <c r="A19" s="156" t="s">
        <v>155</v>
      </c>
      <c r="B19" s="42">
        <f>IF(ISERROR(('Effort and Schedule'!C27-'Project Info'!E19)/'Project Info'!E19*100),"",('Effort and Schedule'!C27-'Project Info'!E19)/'Project Info'!E19*100)</f>
        <v>29.311111111111103</v>
      </c>
      <c r="C19" s="82" t="s">
        <v>27</v>
      </c>
      <c r="D19" s="323"/>
      <c r="E19" s="323"/>
      <c r="F19" s="323"/>
      <c r="G19" s="127" t="str">
        <f t="shared" si="0"/>
        <v/>
      </c>
      <c r="H19" s="238"/>
      <c r="I19" s="157"/>
      <c r="J19" s="32"/>
      <c r="K19" s="32"/>
    </row>
    <row r="20" spans="1:21" s="33" customFormat="1" ht="23.5" thickBot="1" x14ac:dyDescent="0.3">
      <c r="A20" s="156" t="s">
        <v>41</v>
      </c>
      <c r="B20" s="42">
        <f>IF(ISERROR('Effort and Schedule'!C22/'Effort and Schedule'!D19*100),"",'Effort and Schedule'!C22/'Effort and Schedule'!D19*100)</f>
        <v>8.5251491901108274</v>
      </c>
      <c r="C20" s="82" t="s">
        <v>27</v>
      </c>
      <c r="D20" s="324">
        <v>4</v>
      </c>
      <c r="E20" s="324">
        <v>3</v>
      </c>
      <c r="F20" s="324">
        <v>7</v>
      </c>
      <c r="G20" s="127" t="str">
        <f t="shared" si="0"/>
        <v>Hi</v>
      </c>
      <c r="H20" s="238"/>
      <c r="I20" s="157" t="s">
        <v>412</v>
      </c>
      <c r="J20" s="32"/>
      <c r="K20" s="32"/>
    </row>
    <row r="21" spans="1:21" s="33" customFormat="1" ht="17.25" customHeight="1" thickBot="1" x14ac:dyDescent="0.3">
      <c r="A21" s="156" t="s">
        <v>40</v>
      </c>
      <c r="B21" s="42">
        <f>IF('Project Info'!H$25="","",(IF(ISERROR(('Project Info'!H$25-'Project Info'!H$26)/'Effort and Schedule'!D19*1000),"",('Project Info'!H$25-'Project Info'!H$26)/'Effort and Schedule'!D19*1000)))</f>
        <v>30633.702756464907</v>
      </c>
      <c r="C21" s="82" t="s">
        <v>39</v>
      </c>
      <c r="D21" s="42">
        <f>IF('Project Info'!I12="","",'Project Info'!I12)</f>
        <v>15</v>
      </c>
      <c r="E21" s="42">
        <f>IF('Project Info'!J12="","",'Project Info'!J12)</f>
        <v>15</v>
      </c>
      <c r="F21" s="42">
        <f>IF('Project Info'!K12="","",'Project Info'!K12)</f>
        <v>45</v>
      </c>
      <c r="G21" s="127" t="str">
        <f t="shared" si="0"/>
        <v>Hi</v>
      </c>
      <c r="H21" s="238"/>
      <c r="I21" s="157"/>
      <c r="J21" s="32"/>
      <c r="K21" s="32"/>
    </row>
    <row r="22" spans="1:21" s="33" customFormat="1" ht="23.5" thickBot="1" x14ac:dyDescent="0.3">
      <c r="A22" s="156" t="str">
        <f>IF('Project Info'!$D$24="","Productivity for coding &amp; UT for  ",CONCATENATE("Productivity for coding &amp; UT for ",'Project Info'!$D$24))</f>
        <v>Productivity for coding &amp; UT for HTML</v>
      </c>
      <c r="B22" s="42">
        <f>IF('Project Info'!D$25="","",(IF(ISERROR(('Project Info'!D$25-'Project Info'!D$26)/('Effort and Schedule'!B32+'Effort and Schedule'!B33)*1000),"",('Project Info'!D$25-'Project Info'!D$26)/('Effort and Schedule'!B32+'Effort and Schedule'!B33)*1000)))</f>
        <v>197580.64516129033</v>
      </c>
      <c r="C22" s="82" t="s">
        <v>39</v>
      </c>
      <c r="D22" s="241"/>
      <c r="E22" s="241"/>
      <c r="F22" s="241"/>
      <c r="G22" s="127" t="str">
        <f t="shared" si="0"/>
        <v/>
      </c>
      <c r="H22" s="238"/>
      <c r="I22" s="157"/>
      <c r="J22" s="32"/>
      <c r="K22" s="32"/>
    </row>
    <row r="23" spans="1:21" s="33" customFormat="1" ht="23.5" thickBot="1" x14ac:dyDescent="0.3">
      <c r="A23" s="156" t="str">
        <f>IF('Project Info'!$E$24="","Productivity for coding &amp; UT for  ",CONCATENATE("Productivity for coding &amp; UT for ",'Project Info'!$E$24))</f>
        <v>Productivity for coding &amp; UT for CSS</v>
      </c>
      <c r="B23" s="42">
        <f>IF('Project Info'!E$25="","",(IF(ISERROR(('Project Info'!E$25-'Project Info'!E$26)/('Effort and Schedule'!B34+'Effort and Schedule'!B35)*1000),"",('Project Info'!E$25-'Project Info'!E$26)/('Effort and Schedule'!B34+'Effort and Schedule'!B35)*1000)))</f>
        <v>175075.98784194529</v>
      </c>
      <c r="C23" s="82" t="s">
        <v>39</v>
      </c>
      <c r="D23" s="241"/>
      <c r="E23" s="241"/>
      <c r="F23" s="241"/>
      <c r="G23" s="127" t="str">
        <f t="shared" si="0"/>
        <v/>
      </c>
      <c r="H23" s="238"/>
      <c r="I23" s="157"/>
      <c r="J23" s="32"/>
      <c r="K23" s="32"/>
    </row>
    <row r="24" spans="1:21" s="33" customFormat="1" ht="23.5" thickBot="1" x14ac:dyDescent="0.3">
      <c r="A24" s="175" t="str">
        <f>IF('Project Info'!$F$24="","Productivity for coding &amp; UT for  ",CONCATENATE("Productivity for coding &amp; UT for ",'Project Info'!$F$24))</f>
        <v>Productivity for coding &amp; UT for ANGULAR</v>
      </c>
      <c r="B24" s="233">
        <f>IF('Project Info'!F$25="","",(IF(ISERROR(('Project Info'!F$25-'Project Info'!F$26)/('Effort and Schedule'!B37+'Effort and Schedule'!B36)*1000),"",('Project Info'!F$25-'Project Info'!F$26)/('Effort and Schedule'!B37+'Effort and Schedule'!B36)*1000)))</f>
        <v>59767.441860465122</v>
      </c>
      <c r="C24" s="232" t="s">
        <v>39</v>
      </c>
      <c r="D24" s="241"/>
      <c r="E24" s="241"/>
      <c r="F24" s="241"/>
      <c r="G24" s="161" t="str">
        <f t="shared" si="0"/>
        <v/>
      </c>
      <c r="H24" s="238"/>
      <c r="I24" s="162"/>
      <c r="J24" s="32"/>
      <c r="K24" s="32"/>
    </row>
    <row r="25" spans="1:21" s="14" customFormat="1" ht="6" customHeight="1" thickBot="1" x14ac:dyDescent="0.3">
      <c r="A25" s="32"/>
      <c r="B25" s="32"/>
      <c r="C25" s="32"/>
      <c r="D25" s="32"/>
      <c r="E25" s="32"/>
      <c r="F25" s="32"/>
      <c r="G25" s="32"/>
      <c r="H25" s="32"/>
      <c r="I25" s="32"/>
      <c r="J25" s="32"/>
      <c r="K25" s="93"/>
    </row>
    <row r="26" spans="1:21" s="11" customFormat="1" ht="20.25" customHeight="1" x14ac:dyDescent="0.25">
      <c r="A26" s="366" t="s">
        <v>132</v>
      </c>
      <c r="B26" s="367"/>
      <c r="C26" s="367"/>
      <c r="D26" s="367"/>
      <c r="E26" s="367"/>
      <c r="F26" s="367"/>
      <c r="G26" s="367"/>
      <c r="H26" s="367"/>
      <c r="I26" s="368"/>
      <c r="J26" s="27"/>
      <c r="K26" s="27"/>
    </row>
    <row r="27" spans="1:21" s="33" customFormat="1" ht="25.5" customHeight="1" thickBot="1" x14ac:dyDescent="0.3">
      <c r="A27" s="209"/>
      <c r="B27" s="82" t="s">
        <v>28</v>
      </c>
      <c r="C27" s="82" t="s">
        <v>36</v>
      </c>
      <c r="D27" s="82" t="s">
        <v>29</v>
      </c>
      <c r="E27" s="82" t="s">
        <v>12</v>
      </c>
      <c r="F27" s="82" t="s">
        <v>22</v>
      </c>
      <c r="G27" s="85" t="s">
        <v>23</v>
      </c>
      <c r="H27" s="84" t="s">
        <v>173</v>
      </c>
      <c r="I27" s="149" t="s">
        <v>46</v>
      </c>
      <c r="J27" s="32"/>
      <c r="K27" s="32"/>
      <c r="L27" s="32"/>
      <c r="M27" s="32"/>
      <c r="N27" s="32"/>
      <c r="O27" s="32"/>
      <c r="P27" s="32"/>
      <c r="Q27" s="32"/>
      <c r="R27" s="32"/>
      <c r="S27" s="32"/>
      <c r="T27" s="32"/>
      <c r="U27" s="32"/>
    </row>
    <row r="28" spans="1:21" s="33" customFormat="1" ht="17.25" customHeight="1" thickBot="1" x14ac:dyDescent="0.3">
      <c r="A28" s="156" t="s">
        <v>130</v>
      </c>
      <c r="B28" s="42">
        <f>IF(ISERROR('Defect Data'!H19/('Project Info'!H25-'Project Info'!H26))," ",('Defect Data'!H19/('Project Info'!H25-'Project Info'!H26)))</f>
        <v>1.8552875695732839E-2</v>
      </c>
      <c r="C28" s="82" t="s">
        <v>201</v>
      </c>
      <c r="D28" s="42">
        <f>IF('Project Info'!I10="","",'Project Info'!I10)</f>
        <v>10</v>
      </c>
      <c r="E28" s="42">
        <f>IF('Project Info'!J10="","",'Project Info'!J10)</f>
        <v>5</v>
      </c>
      <c r="F28" s="42">
        <f>IF('Project Info'!K10="","",'Project Info'!K10)</f>
        <v>15</v>
      </c>
      <c r="G28" s="127" t="str">
        <f>IF($G$2="N","",IF(B28="","",IF(E28="","",IF(F28="","", IF(B28&gt;F28,"Hi",IF(B28&lt;E28,"Lo","Ok"))))))</f>
        <v>Lo</v>
      </c>
      <c r="H28" s="238"/>
      <c r="I28" s="157"/>
      <c r="J28" s="32"/>
      <c r="K28" s="32"/>
      <c r="L28" s="32"/>
      <c r="M28" s="32"/>
      <c r="N28" s="32"/>
      <c r="O28" s="32"/>
      <c r="P28" s="32"/>
      <c r="Q28" s="32"/>
      <c r="R28" s="32"/>
      <c r="S28" s="32"/>
      <c r="T28" s="32"/>
      <c r="U28" s="32"/>
    </row>
    <row r="29" spans="1:21" s="33" customFormat="1" ht="17.25" customHeight="1" thickBot="1" x14ac:dyDescent="0.3">
      <c r="A29" s="156" t="s">
        <v>131</v>
      </c>
      <c r="B29" s="42">
        <f>IF(ISERROR('Defect Data'!H20/('Project Info'!H25-'Project Info'!H26))," ",('Defect Data'!H20/('Project Info'!H25-'Project Info'!H26)))</f>
        <v>0</v>
      </c>
      <c r="C29" s="82" t="s">
        <v>201</v>
      </c>
      <c r="D29" s="42">
        <f>IF('Project Info'!I11="","",'Project Info'!I11)</f>
        <v>1</v>
      </c>
      <c r="E29" s="42">
        <f>IF('Project Info'!J11="","",'Project Info'!J11)</f>
        <v>1</v>
      </c>
      <c r="F29" s="42">
        <f>IF('Project Info'!K11="","",'Project Info'!K11)</f>
        <v>2</v>
      </c>
      <c r="G29" s="127" t="str">
        <f>IF($G$2="N","",IF(B29="","",IF(E29="","",IF(F29="","", IF(B29&gt;F29,"Hi",IF(B29&lt;E29,"Lo","Ok"))))))</f>
        <v>Lo</v>
      </c>
      <c r="H29" s="238"/>
      <c r="I29" s="157"/>
      <c r="J29" s="32"/>
      <c r="K29" s="32"/>
      <c r="L29" s="32"/>
      <c r="M29" s="32"/>
      <c r="N29" s="32"/>
      <c r="O29" s="32"/>
      <c r="P29" s="32"/>
      <c r="Q29" s="32"/>
      <c r="R29" s="32"/>
      <c r="S29" s="32"/>
      <c r="T29" s="32"/>
      <c r="U29" s="32"/>
    </row>
    <row r="30" spans="1:21" s="33" customFormat="1" ht="17.25" customHeight="1" thickBot="1" x14ac:dyDescent="0.3">
      <c r="A30" s="156" t="s">
        <v>137</v>
      </c>
      <c r="B30" s="42">
        <f>IF('Defect Data'!H20="","",IF(ISERROR('Defect Data'!H19/SUM('Defect Data'!H19:H20)*100)," ",('Defect Data'!H19/SUM('Defect Data'!H19:H20)*100)))</f>
        <v>100</v>
      </c>
      <c r="C30" s="82" t="s">
        <v>27</v>
      </c>
      <c r="D30" s="42">
        <f>IF('Project Info'!I9="","",'Project Info'!I9)</f>
        <v>5</v>
      </c>
      <c r="E30" s="42">
        <f>IF('Project Info'!J9="","",'Project Info'!J9)</f>
        <v>2</v>
      </c>
      <c r="F30" s="42">
        <f>IF('Project Info'!K9="","",'Project Info'!K9)</f>
        <v>10</v>
      </c>
      <c r="G30" s="127" t="str">
        <f>IF($G$2="N","",IF(B30="","",IF(E30="","",IF(F30="","", IF(B30&gt;F30,"Hi",IF(B30&lt;E30,"Lo","Ok"))))))</f>
        <v>Hi</v>
      </c>
      <c r="H30" s="238"/>
      <c r="I30" s="157"/>
      <c r="J30" s="32"/>
      <c r="K30" s="32"/>
      <c r="L30" s="32"/>
      <c r="M30" s="32"/>
      <c r="N30" s="32"/>
      <c r="O30" s="32"/>
      <c r="P30" s="32"/>
      <c r="Q30" s="32"/>
      <c r="R30" s="32"/>
      <c r="S30" s="32"/>
      <c r="T30" s="32"/>
      <c r="U30" s="32"/>
    </row>
    <row r="31" spans="1:21" s="33" customFormat="1" ht="15.75" customHeight="1" thickBot="1" x14ac:dyDescent="0.3">
      <c r="A31" s="175" t="s">
        <v>138</v>
      </c>
      <c r="B31" s="233">
        <f>IF(ISERROR(SUM('Defect Data'!H9:H14)/SUM('Defect Data'!H19:H20)*100)," ",(SUM('Defect Data'!H9:H14)/SUM('Defect Data'!H19:H20)*100))</f>
        <v>75</v>
      </c>
      <c r="C31" s="232" t="s">
        <v>27</v>
      </c>
      <c r="D31" s="233">
        <f>IF('Project Info'!I8="","",'Project Info'!I8)</f>
        <v>5</v>
      </c>
      <c r="E31" s="233">
        <f>IF('Project Info'!J8="","",'Project Info'!J8)</f>
        <v>2</v>
      </c>
      <c r="F31" s="233">
        <f>IF('Project Info'!K8="","",'Project Info'!K8)</f>
        <v>7</v>
      </c>
      <c r="G31" s="161" t="str">
        <f>IF($G$2="N","",IF(B31="","",IF(E31="","",IF(F31="","", IF(B31&gt;F31,"Hi",IF(B31&lt;E31,"Lo","Ok"))))))</f>
        <v>Hi</v>
      </c>
      <c r="H31" s="238"/>
      <c r="I31" s="162"/>
      <c r="J31" s="32"/>
      <c r="K31" s="32"/>
      <c r="L31" s="32"/>
      <c r="M31" s="32"/>
      <c r="N31" s="32"/>
      <c r="O31" s="32"/>
      <c r="P31" s="32"/>
      <c r="Q31" s="32"/>
      <c r="R31" s="32"/>
      <c r="S31" s="32"/>
      <c r="T31" s="32"/>
      <c r="U31" s="32"/>
    </row>
    <row r="32" spans="1:21" s="22" customFormat="1" ht="5.25" customHeight="1" thickBot="1" x14ac:dyDescent="0.3">
      <c r="A32" s="32"/>
      <c r="B32" s="32"/>
      <c r="C32" s="67"/>
      <c r="D32" s="32"/>
      <c r="E32" s="32"/>
      <c r="F32" s="32"/>
      <c r="G32" s="32"/>
      <c r="H32" s="32"/>
      <c r="I32" s="32"/>
      <c r="J32" s="27"/>
      <c r="K32" s="27"/>
      <c r="L32" s="11"/>
      <c r="M32" s="11"/>
      <c r="N32" s="11"/>
      <c r="O32" s="11"/>
      <c r="P32" s="11"/>
      <c r="Q32" s="11"/>
      <c r="R32" s="11"/>
      <c r="S32" s="11"/>
      <c r="T32" s="11"/>
      <c r="U32" s="11"/>
    </row>
    <row r="33" spans="1:21" s="22" customFormat="1" ht="23.5" thickBot="1" x14ac:dyDescent="0.3">
      <c r="A33" s="234" t="s">
        <v>115</v>
      </c>
      <c r="B33" s="236">
        <f>IF('Project Info'!D29="","",IF(ISERROR('Project Info'!D29/('Project Info'!H25-'Project Info'!H26))," ",('Project Info'!D29/('Project Info'!H25-'Project Info'!H26))))</f>
        <v>1.8552875695732839E-3</v>
      </c>
      <c r="C33" s="235" t="s">
        <v>116</v>
      </c>
      <c r="D33" s="241"/>
      <c r="E33" s="241"/>
      <c r="F33" s="241"/>
      <c r="G33" s="242" t="str">
        <f>IF($G$2="N","",IF(B33="","",IF(E33="","",IF(F33="","", IF(B33&gt;F33,"Hi",IF(B33&lt;E33,"Lo","Ok"))))))</f>
        <v/>
      </c>
      <c r="H33" s="238"/>
      <c r="I33" s="243"/>
      <c r="J33" s="27"/>
      <c r="K33" s="27"/>
      <c r="L33" s="11"/>
      <c r="M33" s="11"/>
      <c r="N33" s="11"/>
      <c r="O33" s="11"/>
      <c r="P33" s="11"/>
      <c r="Q33" s="11"/>
      <c r="R33" s="11"/>
      <c r="S33" s="11"/>
      <c r="T33" s="11"/>
      <c r="U33" s="11"/>
    </row>
    <row r="34" spans="1:21" ht="4.5" customHeight="1" thickBot="1" x14ac:dyDescent="0.3">
      <c r="A34" s="27"/>
      <c r="B34" s="27"/>
      <c r="C34" s="27"/>
      <c r="D34" s="27"/>
      <c r="E34" s="27"/>
      <c r="F34" s="27"/>
      <c r="G34" s="27"/>
      <c r="H34" s="27"/>
      <c r="I34" s="27"/>
      <c r="J34" s="27"/>
      <c r="K34" s="27"/>
    </row>
    <row r="35" spans="1:21" ht="15.5" x14ac:dyDescent="0.25">
      <c r="A35" s="366" t="s">
        <v>174</v>
      </c>
      <c r="B35" s="367"/>
      <c r="C35" s="367"/>
      <c r="D35" s="367"/>
      <c r="E35" s="367"/>
      <c r="F35" s="367"/>
      <c r="G35" s="367"/>
      <c r="H35" s="244"/>
      <c r="I35" s="244"/>
      <c r="J35" s="244"/>
      <c r="K35" s="245"/>
    </row>
    <row r="36" spans="1:21" s="43" customFormat="1" ht="23" x14ac:dyDescent="0.25">
      <c r="A36" s="246"/>
      <c r="B36" s="82" t="s">
        <v>134</v>
      </c>
      <c r="C36" s="82" t="s">
        <v>122</v>
      </c>
      <c r="D36" s="82" t="s">
        <v>123</v>
      </c>
      <c r="E36" s="82" t="s">
        <v>124</v>
      </c>
      <c r="F36" s="82" t="s">
        <v>202</v>
      </c>
      <c r="G36" s="82" t="s">
        <v>1</v>
      </c>
      <c r="H36" s="82" t="s">
        <v>203</v>
      </c>
      <c r="I36" s="82" t="s">
        <v>204</v>
      </c>
      <c r="J36" s="82" t="s">
        <v>55</v>
      </c>
      <c r="K36" s="149" t="s">
        <v>133</v>
      </c>
      <c r="L36" s="32"/>
      <c r="M36" s="32"/>
      <c r="N36" s="32"/>
      <c r="O36" s="32"/>
    </row>
    <row r="37" spans="1:21" s="43" customFormat="1" ht="19.5" customHeight="1" x14ac:dyDescent="0.25">
      <c r="A37" s="156" t="s">
        <v>212</v>
      </c>
      <c r="B37" s="100">
        <f>IF(ISERROR('Effort and Schedule'!D7/SUM('Effort and Schedule'!D7:D16)),"",100*'Effort and Schedule'!D7/SUM('Effort and Schedule'!D7:D16))</f>
        <v>53.28218243819267</v>
      </c>
      <c r="C37" s="100">
        <f>IF(ISERROR('Effort and Schedule'!D8/SUM('Effort and Schedule'!D7:D16)),"",100*'Effort and Schedule'!D8/SUM('Effort and Schedule'!D7:D16))</f>
        <v>4.9730036942313163</v>
      </c>
      <c r="D37" s="100">
        <f>IF(ISERROR('Effort and Schedule'!D9/SUM('Effort and Schedule'!D7:D16)),"",100*'Effort and Schedule'!D9/SUM('Effort and Schedule'!D7:D16))</f>
        <v>3.9784029553850528</v>
      </c>
      <c r="E37" s="100">
        <f>IF(ISERROR('Effort and Schedule'!D10/SUM('Effort and Schedule'!D7:D16)),"",100*'Effort and Schedule'!D10/SUM('Effort and Schedule'!D7:D16))</f>
        <v>7.1042909917590231</v>
      </c>
      <c r="F37" s="100">
        <f>IF(ISERROR('Effort and Schedule'!D11/SUM('Effort and Schedule'!D7:D16)),"",100*'Effort and Schedule'!D11/SUM('Effort and Schedule'!D7:D16))</f>
        <v>0.85251491901108278</v>
      </c>
      <c r="G37" s="100">
        <f>IF(ISERROR('Effort and Schedule'!D12/SUM('Effort and Schedule'!D7:D16)),"",100*'Effort and Schedule'!D12/SUM('Effort and Schedule'!D7:D16))</f>
        <v>22.733731173628872</v>
      </c>
      <c r="H37" s="100">
        <f>IF(ISERROR('Effort and Schedule'!D13/SUM('Effort and Schedule'!D7:D16)),"",100*'Effort and Schedule'!D13/SUM('Effort and Schedule'!D7:D16))</f>
        <v>2.3586246092639955</v>
      </c>
      <c r="I37" s="100">
        <f>IF(ISERROR('Effort and Schedule'!D14/SUM('Effort and Schedule'!D7:D16)),"",100*'Effort and Schedule'!D14/SUM('Effort and Schedule'!D7:D16))</f>
        <v>2.3586246092639955</v>
      </c>
      <c r="J37" s="100">
        <f>IF(ISERROR('Effort and Schedule'!D15/SUM('Effort and Schedule'!D7:D16)),"",100*'Effort and Schedule'!D15/SUM('Effort and Schedule'!D7:D16))</f>
        <v>2.3586246092639955</v>
      </c>
      <c r="K37" s="247">
        <f>IF(ISERROR('Effort and Schedule'!D16/SUM('Effort and Schedule'!D7:D16)),"",100*'Effort and Schedule'!D16/SUM('Effort and Schedule'!D7:D16))</f>
        <v>0</v>
      </c>
      <c r="L37" s="32"/>
      <c r="M37" s="32"/>
      <c r="N37" s="32"/>
      <c r="O37" s="32"/>
    </row>
    <row r="38" spans="1:21" s="43" customFormat="1" ht="23.5" thickBot="1" x14ac:dyDescent="0.3">
      <c r="A38" s="156" t="s">
        <v>230</v>
      </c>
      <c r="B38" s="100">
        <f>IF(ISERROR('Defect Data'!$H9/'Defect Data'!$H$19)," ",100*('Defect Data'!$H9/'Defect Data'!$H$19))</f>
        <v>0</v>
      </c>
      <c r="C38" s="100">
        <f>IF(ISERROR('Defect Data'!$H10/'Defect Data'!$H$19)," ",100*('Defect Data'!$H10/'Defect Data'!$H$19))</f>
        <v>15</v>
      </c>
      <c r="D38" s="100">
        <f>IF(ISERROR('Defect Data'!$H11/'Defect Data'!$H$19)," ",100*('Defect Data'!$H11/'Defect Data'!$H$19))</f>
        <v>10</v>
      </c>
      <c r="E38" s="100">
        <f>IF(ISERROR('Defect Data'!$H12/'Defect Data'!$H$19)," ",100*('Defect Data'!$H12/'Defect Data'!$H$19))</f>
        <v>20</v>
      </c>
      <c r="F38" s="100">
        <f>IF(ISERROR('Defect Data'!$H13/'Defect Data'!$H$19)," ",100*('Defect Data'!$H13/'Defect Data'!$H$19))</f>
        <v>30</v>
      </c>
      <c r="G38" s="100" t="str">
        <f>IF(ISERROR('Defect Data'!$I14/'Defect Data'!$H$19)," ",100*('Defect Data'!$I14/'Defect Data'!$H$19))</f>
        <v xml:space="preserve"> </v>
      </c>
      <c r="H38" s="248">
        <f>IF(ISERROR((SUM('Defect Data'!H15:H15))/'Defect Data'!$H$19)," ",100*(SUM('Defect Data'!H15:H15))/'Defect Data'!$H$19)</f>
        <v>5</v>
      </c>
      <c r="I38" s="248">
        <f>IF(ISERROR('Defect Data'!$H16/'Defect Data'!$H$19)," ",100*('Defect Data'!$H16/'Defect Data'!$H$19))</f>
        <v>5</v>
      </c>
      <c r="J38" s="248">
        <f>IF(ISERROR('Defect Data'!$H17/'Defect Data'!$H$19)," ",100*('Defect Data'!$H17/'Defect Data'!$H$19))</f>
        <v>15</v>
      </c>
      <c r="K38" s="249" t="str">
        <f>IF(ISERROR('Defect Data'!$H18/'Defect Data'!$H$19)," ",100*('Defect Data'!$H18/'Defect Data'!$H$19))</f>
        <v xml:space="preserve"> </v>
      </c>
      <c r="L38" s="32"/>
      <c r="M38" s="32"/>
      <c r="N38" s="32"/>
      <c r="O38" s="32"/>
    </row>
    <row r="39" spans="1:21" s="43" customFormat="1" ht="23" x14ac:dyDescent="0.25">
      <c r="A39" s="250" t="s">
        <v>135</v>
      </c>
      <c r="B39" s="251">
        <f>'Defect Data'!B21</f>
        <v>20</v>
      </c>
      <c r="C39" s="251">
        <f>'Defect Data'!C21</f>
        <v>10</v>
      </c>
      <c r="D39" s="251">
        <f>'Defect Data'!D21</f>
        <v>25</v>
      </c>
      <c r="E39" s="251">
        <f>'Defect Data'!E21</f>
        <v>20</v>
      </c>
      <c r="F39" s="251">
        <f>'Defect Data'!F21</f>
        <v>25</v>
      </c>
      <c r="G39" s="252" t="str">
        <f>'Defect Data'!G21</f>
        <v/>
      </c>
      <c r="H39" s="101"/>
      <c r="I39" s="101"/>
      <c r="J39" s="101"/>
      <c r="K39" s="101"/>
      <c r="L39" s="32" t="str">
        <f>IF(ISERROR(I27/SUM(D$16:D$26)*100),"",I27/SUM(D$16:D$26)*100)</f>
        <v/>
      </c>
      <c r="M39" s="32"/>
      <c r="N39" s="32"/>
      <c r="O39" s="32"/>
    </row>
    <row r="40" spans="1:21" s="43" customFormat="1" ht="18.75" customHeight="1" thickBot="1" x14ac:dyDescent="0.3">
      <c r="A40" s="175" t="s">
        <v>114</v>
      </c>
      <c r="B40" s="248">
        <f>'Defect Data'!B22</f>
        <v>100</v>
      </c>
      <c r="C40" s="248">
        <f>'Defect Data'!C22</f>
        <v>0</v>
      </c>
      <c r="D40" s="248">
        <f>'Defect Data'!D22</f>
        <v>60</v>
      </c>
      <c r="E40" s="248">
        <f>'Defect Data'!E22</f>
        <v>0</v>
      </c>
      <c r="F40" s="248">
        <f>'Defect Data'!F22</f>
        <v>60</v>
      </c>
      <c r="G40" s="249" t="str">
        <f>'Defect Data'!G22</f>
        <v xml:space="preserve"> </v>
      </c>
      <c r="H40" s="101"/>
      <c r="I40" s="101"/>
      <c r="J40" s="101"/>
      <c r="K40" s="101"/>
      <c r="L40" s="32"/>
      <c r="M40" s="32"/>
      <c r="N40" s="32"/>
      <c r="O40" s="32"/>
    </row>
    <row r="41" spans="1:21" ht="14" x14ac:dyDescent="0.25">
      <c r="A41" s="27"/>
      <c r="B41" s="27"/>
      <c r="C41" s="27"/>
      <c r="D41" s="27"/>
      <c r="E41" s="27"/>
      <c r="F41" s="27"/>
      <c r="G41" s="27"/>
      <c r="H41" s="27"/>
      <c r="I41" s="27"/>
      <c r="J41" s="27"/>
      <c r="K41" s="27"/>
    </row>
    <row r="42" spans="1:21" ht="14" x14ac:dyDescent="0.25">
      <c r="A42" s="27"/>
      <c r="B42" s="27"/>
      <c r="C42" s="27"/>
      <c r="D42" s="27"/>
      <c r="E42" s="27"/>
      <c r="F42" s="27"/>
      <c r="G42" s="27"/>
      <c r="H42" s="27"/>
      <c r="I42" s="27"/>
      <c r="J42" s="27"/>
      <c r="K42" s="27"/>
    </row>
    <row r="43" spans="1:21" ht="14" x14ac:dyDescent="0.25">
      <c r="A43" s="27"/>
      <c r="B43" s="27"/>
      <c r="C43" s="27"/>
      <c r="D43" s="27"/>
      <c r="E43" s="27"/>
      <c r="F43" s="27"/>
      <c r="G43" s="27"/>
      <c r="H43" s="27"/>
      <c r="I43" s="27"/>
      <c r="J43" s="27"/>
      <c r="K43" s="27"/>
    </row>
    <row r="44" spans="1:21" ht="14" x14ac:dyDescent="0.25">
      <c r="A44" s="27"/>
      <c r="B44" s="27"/>
      <c r="C44" s="27"/>
      <c r="D44" s="27"/>
      <c r="E44" s="27"/>
      <c r="F44" s="27"/>
      <c r="G44" s="27"/>
      <c r="H44" s="27"/>
      <c r="I44" s="27"/>
      <c r="J44" s="27"/>
      <c r="K44" s="27"/>
    </row>
  </sheetData>
  <sheetProtection sheet="1" objects="1" scenarios="1"/>
  <customSheetViews>
    <customSheetView guid="{D77630C3-E566-49F3-BD2C-D3992F8DF201}" scale="90" showPageBreaks="1" printArea="1" showRuler="0" topLeftCell="A29">
      <selection activeCell="A39" sqref="A39"/>
      <pageMargins left="0.2" right="0.24" top="0.28000000000000003" bottom="0.27" header="0.2" footer="0.21"/>
      <printOptions headings="1"/>
      <pageSetup paperSize="9" scale="81" orientation="portrait" horizontalDpi="200" verticalDpi="200" r:id="rId1"/>
      <headerFooter alignWithMargins="0">
        <oddHeader>&amp;C&amp;"Arial,Bold"MAP</oddHeader>
        <oddFooter>&amp;L&amp;"Times New Roman,Regular"PM-04-01
Ver 3.0/ 25-Sep-03&amp;C&amp;9© L&amp;&amp;T Infotech
For Internal Use Only&amp;R&amp;9&amp;P of &amp;N</oddFooter>
      </headerFooter>
    </customSheetView>
    <customSheetView guid="{99472ED2-59D2-11D7-A477-0010B5BCD3CB}" showRuler="0">
      <selection activeCell="A9" sqref="A9"/>
      <pageMargins left="0.75" right="0.75" top="1" bottom="1" header="0.5" footer="0.5"/>
      <pageSetup paperSize="9" orientation="portrait" horizontalDpi="200" verticalDpi="200" r:id="rId2"/>
      <headerFooter alignWithMargins="0">
        <oddHeader>&amp;LMX011T/2.6/09.07.2002&amp;C&amp;"Arial,Bold"MAP</oddHeader>
        <oddFooter>&amp;LL&amp;&amp;T Infotech&amp;C&amp;F&amp;R&amp;P of &amp;N</oddFooter>
      </headerFooter>
    </customSheetView>
  </customSheetViews>
  <mergeCells count="6">
    <mergeCell ref="A35:G35"/>
    <mergeCell ref="A26:I26"/>
    <mergeCell ref="A2:F2"/>
    <mergeCell ref="A16:I16"/>
    <mergeCell ref="A11:I11"/>
    <mergeCell ref="A4:I4"/>
  </mergeCells>
  <phoneticPr fontId="0" type="noConversion"/>
  <conditionalFormatting sqref="B7 B10">
    <cfRule type="expression" dxfId="3" priority="1" stopIfTrue="1">
      <formula>$F$73="N"</formula>
    </cfRule>
  </conditionalFormatting>
  <conditionalFormatting sqref="H37:K38 B8:B9 B26 B35 B33 B6 B37:G40 B13:B14 D35:G35 B28:B31 D26:G26 B18:B24">
    <cfRule type="expression" dxfId="2" priority="2" stopIfTrue="1">
      <formula>$G$2="N"</formula>
    </cfRule>
  </conditionalFormatting>
  <conditionalFormatting sqref="C45 G33 G13:G14 G18:G24 G28:G31 G8 G6">
    <cfRule type="cellIs" dxfId="1" priority="3" stopIfTrue="1" operator="equal">
      <formula>"Hi"</formula>
    </cfRule>
    <cfRule type="cellIs" dxfId="0" priority="4" stopIfTrue="1" operator="equal">
      <formula>"Lo"</formula>
    </cfRule>
  </conditionalFormatting>
  <dataValidations count="4">
    <dataValidation type="list" allowBlank="1" showInputMessage="1" showErrorMessage="1" sqref="G2" xr:uid="{00000000-0002-0000-0400-000000000000}">
      <formula1>"Y,N"</formula1>
    </dataValidation>
    <dataValidation type="decimal" operator="greaterThan" showInputMessage="1" showErrorMessage="1" sqref="D8 D18:D20 D22:D24 D33" xr:uid="{00000000-0002-0000-0400-000001000000}">
      <formula1>0</formula1>
    </dataValidation>
    <dataValidation type="decimal" operator="lessThanOrEqual" allowBlank="1" showInputMessage="1" showErrorMessage="1" error="LCL should be lesser than Goal" sqref="E8 E18:E20 E22:E24 E33" xr:uid="{00000000-0002-0000-0400-000002000000}">
      <formula1>D8</formula1>
    </dataValidation>
    <dataValidation type="decimal" operator="greaterThanOrEqual" allowBlank="1" showInputMessage="1" showErrorMessage="1" error="UCL should be greater than Goal" sqref="F8 F18:F20 F22:F24 F33" xr:uid="{00000000-0002-0000-0400-000003000000}">
      <formula1>D8</formula1>
    </dataValidation>
  </dataValidations>
  <hyperlinks>
    <hyperlink ref="H27" location="'Causal analysis'!A1" display="'Causal analysis'!A1" xr:uid="{00000000-0004-0000-0400-000000000000}"/>
    <hyperlink ref="H5" location="'Causal analysis'!A1" display="'Causal analysis'!A1" xr:uid="{00000000-0004-0000-0400-000001000000}"/>
    <hyperlink ref="H12" location="'Causal analysis'!A1" display="'Causal analysis'!A1" xr:uid="{00000000-0004-0000-0400-000002000000}"/>
    <hyperlink ref="H17" location="'Causal analysis'!A1" display="'Causal analysis'!A1" xr:uid="{00000000-0004-0000-0400-000003000000}"/>
  </hyperlinks>
  <printOptions horizontalCentered="1"/>
  <pageMargins left="0.2" right="0.24" top="0.53" bottom="0.52" header="0.2" footer="0.21"/>
  <pageSetup paperSize="9" scale="85" orientation="portrait" r:id="rId3"/>
  <headerFooter alignWithMargins="0">
    <oddHeader>&amp;C&amp;"Arial,Bold"&amp;9Metrics Action Plan</oddHeader>
    <oddFooter>&amp;L&amp;8PM-04-01
Ver 4.01/ 29-Sep-04&amp;C&amp;"Arial,Bold"&amp;9© L&amp;&amp;T Infotech Internal Use&amp;R&amp;9&amp;P of &amp;N</oddFooter>
  </headerFooter>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2:H21"/>
  <sheetViews>
    <sheetView showGridLines="0" zoomScale="75" zoomScaleNormal="85" workbookViewId="0"/>
  </sheetViews>
  <sheetFormatPr defaultColWidth="8.54296875" defaultRowHeight="12.5" x14ac:dyDescent="0.25"/>
  <cols>
    <col min="1" max="2" width="11.453125" style="317" customWidth="1"/>
    <col min="3" max="3" width="11.90625" style="317" customWidth="1"/>
    <col min="4" max="6" width="8.54296875" style="317" customWidth="1"/>
    <col min="7" max="7" width="12.54296875" style="317" customWidth="1"/>
    <col min="8" max="16384" width="8.54296875" style="317"/>
  </cols>
  <sheetData>
    <row r="2" spans="1:8" s="309" customFormat="1" ht="13" x14ac:dyDescent="0.3">
      <c r="A2" s="307" t="s">
        <v>62</v>
      </c>
      <c r="B2" s="310">
        <v>44098</v>
      </c>
      <c r="C2" s="310"/>
      <c r="D2" s="310"/>
      <c r="E2" s="310"/>
      <c r="G2" s="308"/>
      <c r="H2" s="308"/>
    </row>
    <row r="3" spans="1:8" s="306" customFormat="1" ht="26" x14ac:dyDescent="0.25">
      <c r="A3" s="304" t="s">
        <v>209</v>
      </c>
      <c r="B3" s="305">
        <v>-96.711761474609375</v>
      </c>
      <c r="C3" s="305"/>
      <c r="D3" s="305"/>
      <c r="E3" s="305"/>
      <c r="F3" s="305"/>
      <c r="G3" s="305"/>
      <c r="H3" s="305"/>
    </row>
    <row r="4" spans="1:8" s="313" customFormat="1" ht="13" x14ac:dyDescent="0.25">
      <c r="A4" s="311"/>
      <c r="B4" s="312"/>
    </row>
    <row r="5" spans="1:8" s="315" customFormat="1" x14ac:dyDescent="0.25">
      <c r="A5" s="314" t="s">
        <v>118</v>
      </c>
      <c r="B5" s="315">
        <v>8.3333333333333321</v>
      </c>
    </row>
    <row r="6" spans="1:8" s="315" customFormat="1" x14ac:dyDescent="0.25">
      <c r="A6" s="314" t="s">
        <v>119</v>
      </c>
      <c r="B6" s="315">
        <v>8.3333333333333321</v>
      </c>
    </row>
    <row r="7" spans="1:8" s="315" customFormat="1" x14ac:dyDescent="0.25">
      <c r="A7" s="314" t="s">
        <v>120</v>
      </c>
      <c r="B7" s="315">
        <v>16.666666666666664</v>
      </c>
    </row>
    <row r="8" spans="1:8" s="315" customFormat="1" x14ac:dyDescent="0.25">
      <c r="A8" s="314" t="s">
        <v>207</v>
      </c>
      <c r="B8" s="315">
        <v>0</v>
      </c>
    </row>
    <row r="9" spans="1:8" s="315" customFormat="1" x14ac:dyDescent="0.25">
      <c r="A9" s="314" t="s">
        <v>180</v>
      </c>
      <c r="B9" s="315">
        <v>25</v>
      </c>
    </row>
    <row r="10" spans="1:8" s="315" customFormat="1" x14ac:dyDescent="0.25">
      <c r="A10" s="314" t="s">
        <v>181</v>
      </c>
      <c r="B10" s="315">
        <v>41.666666666666671</v>
      </c>
    </row>
    <row r="11" spans="1:8" s="315" customFormat="1" x14ac:dyDescent="0.25">
      <c r="A11" s="314" t="s">
        <v>182</v>
      </c>
      <c r="B11" s="315">
        <v>0</v>
      </c>
    </row>
    <row r="12" spans="1:8" x14ac:dyDescent="0.25">
      <c r="A12" s="316" t="s">
        <v>121</v>
      </c>
      <c r="B12" s="317">
        <v>50</v>
      </c>
    </row>
    <row r="13" spans="1:8" x14ac:dyDescent="0.25">
      <c r="A13" s="318" t="s">
        <v>52</v>
      </c>
      <c r="B13" s="317">
        <v>0</v>
      </c>
    </row>
    <row r="14" spans="1:8" x14ac:dyDescent="0.25">
      <c r="A14" s="318" t="s">
        <v>53</v>
      </c>
      <c r="B14" s="317">
        <v>0</v>
      </c>
    </row>
    <row r="15" spans="1:8" x14ac:dyDescent="0.25">
      <c r="A15" s="318" t="s">
        <v>54</v>
      </c>
      <c r="B15" s="317">
        <v>0</v>
      </c>
    </row>
    <row r="16" spans="1:8" x14ac:dyDescent="0.25">
      <c r="A16" s="318" t="s">
        <v>51</v>
      </c>
      <c r="B16" s="317">
        <v>0</v>
      </c>
    </row>
    <row r="17" spans="1:8" x14ac:dyDescent="0.25">
      <c r="A17" s="318" t="s">
        <v>55</v>
      </c>
      <c r="B17" s="317">
        <v>25</v>
      </c>
    </row>
    <row r="18" spans="1:8" x14ac:dyDescent="0.25">
      <c r="A18" s="318" t="s">
        <v>56</v>
      </c>
      <c r="B18" s="317">
        <v>0</v>
      </c>
      <c r="G18" s="319"/>
      <c r="H18" s="319"/>
    </row>
    <row r="19" spans="1:8" x14ac:dyDescent="0.25">
      <c r="A19" s="318" t="s">
        <v>57</v>
      </c>
      <c r="B19" s="317">
        <v>0</v>
      </c>
      <c r="G19" s="319"/>
      <c r="H19" s="319"/>
    </row>
    <row r="20" spans="1:8" x14ac:dyDescent="0.25">
      <c r="A20" s="318" t="s">
        <v>183</v>
      </c>
      <c r="B20" s="317">
        <v>25</v>
      </c>
    </row>
    <row r="21" spans="1:8" x14ac:dyDescent="0.25">
      <c r="A21" s="318" t="s">
        <v>184</v>
      </c>
      <c r="B21" s="317">
        <v>0</v>
      </c>
    </row>
  </sheetData>
  <sheetProtection sheet="1" objects="1" scenarios="1"/>
  <customSheetViews>
    <customSheetView guid="{D77630C3-E566-49F3-BD2C-D3992F8DF201}" scale="85" showPageBreaks="1" printArea="1" showRuler="0">
      <selection activeCell="A9" sqref="A9"/>
      <rowBreaks count="2" manualBreakCount="2">
        <brk id="45" max="17" man="1"/>
        <brk id="94" max="17" man="1"/>
      </rowBreaks>
      <pageMargins left="0.2" right="0.24" top="0.28000000000000003" bottom="0.27" header="0.2" footer="0.21"/>
      <printOptions headings="1"/>
      <pageSetup paperSize="9" scale="81" orientation="portrait" r:id="rId1"/>
      <headerFooter alignWithMargins="0">
        <oddHeader>&amp;C&amp;"Arial,Bold"MAP</oddHeader>
        <oddFooter>&amp;L&amp;"Times New Roman,Regular"PM-04-01
Ver 3.0/ 25-Sep-03&amp;C&amp;9© L&amp;&amp;T Infotech
For Internal Use Only&amp;R&amp;9&amp;P of &amp;N</oddFooter>
      </headerFooter>
    </customSheetView>
    <customSheetView guid="{99472ED2-59D2-11D7-A477-0010B5BCD3CB}" scale="75" showRuler="0" topLeftCell="A81">
      <selection activeCell="A60" sqref="A60"/>
      <pageMargins left="0.75" right="0.75" top="1" bottom="1" header="0.5" footer="0.5"/>
      <pageSetup paperSize="9" orientation="portrait" r:id="rId2"/>
      <headerFooter alignWithMargins="0">
        <oddFooter>&amp;L&amp;"Times New Roman,Regular"L&amp;&amp;T Infotech&amp;C&amp;"Times New Roman,Regular"&amp;F&amp;R&amp;"Times New Roman,Regular"&amp;P of &amp;N</oddFooter>
      </headerFooter>
    </customSheetView>
  </customSheetViews>
  <phoneticPr fontId="0" type="noConversion"/>
  <printOptions horizontalCentered="1"/>
  <pageMargins left="0.2" right="0.24" top="0.53" bottom="0.52" header="0.2" footer="0.21"/>
  <pageSetup paperSize="9" scale="53" orientation="portrait" r:id="rId3"/>
  <headerFooter alignWithMargins="0">
    <oddHeader>&amp;C&amp;"Arial,Bold"&amp;9Metrics Action Plan</oddHeader>
    <oddFooter>&amp;L&amp;8PM-04-01
Ver 4.01/ 29-Sep-04&amp;C&amp;"Arial,Bold"&amp;9© L&amp;&amp;T Infotech Internal Use&amp;R&amp;9&amp;P of &amp;N</oddFooter>
  </headerFooter>
  <rowBreaks count="2" manualBreakCount="2">
    <brk id="45" max="17" man="1"/>
    <brk id="94" max="17" man="1"/>
  </rowBreaks>
  <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R43"/>
  <sheetViews>
    <sheetView showGridLines="0" zoomScale="90" zoomScaleNormal="100" zoomScaleSheetLayoutView="100" workbookViewId="0">
      <selection activeCell="F16" sqref="F16"/>
    </sheetView>
  </sheetViews>
  <sheetFormatPr defaultColWidth="9.08984375" defaultRowHeight="12.5" x14ac:dyDescent="0.25"/>
  <cols>
    <col min="1" max="1" width="11.6328125" style="60" customWidth="1"/>
    <col min="2" max="2" width="6.453125" style="60" customWidth="1"/>
    <col min="3" max="3" width="24.90625" style="60" customWidth="1"/>
    <col min="4" max="4" width="27.6328125" style="60" customWidth="1"/>
    <col min="5" max="5" width="26.453125" style="60" customWidth="1"/>
    <col min="6" max="6" width="8.90625" style="60" customWidth="1"/>
    <col min="7" max="7" width="14" style="60" customWidth="1"/>
    <col min="8" max="8" width="9.08984375" style="277"/>
    <col min="9" max="9" width="11.08984375" style="276" customWidth="1"/>
    <col min="10" max="10" width="12.453125" style="59" customWidth="1"/>
    <col min="11" max="17" width="9.08984375" style="59"/>
    <col min="18" max="16384" width="9.08984375" style="60"/>
  </cols>
  <sheetData>
    <row r="1" spans="1:18" ht="33" customHeight="1" x14ac:dyDescent="0.25">
      <c r="A1" s="415" t="s">
        <v>374</v>
      </c>
      <c r="B1" s="416"/>
      <c r="C1" s="417"/>
      <c r="D1" s="270"/>
      <c r="E1" s="270"/>
      <c r="F1" s="270"/>
      <c r="G1" s="270"/>
      <c r="H1" s="271"/>
      <c r="I1" s="271"/>
      <c r="J1" s="278"/>
    </row>
    <row r="2" spans="1:18" s="62" customFormat="1" ht="52" x14ac:dyDescent="0.25">
      <c r="A2" s="230" t="s">
        <v>185</v>
      </c>
      <c r="B2" s="81" t="s">
        <v>186</v>
      </c>
      <c r="C2" s="81" t="s">
        <v>187</v>
      </c>
      <c r="D2" s="81" t="s">
        <v>38</v>
      </c>
      <c r="E2" s="81" t="s">
        <v>188</v>
      </c>
      <c r="F2" s="81" t="s">
        <v>189</v>
      </c>
      <c r="G2" s="81" t="s">
        <v>190</v>
      </c>
      <c r="H2" s="272" t="s">
        <v>191</v>
      </c>
      <c r="I2" s="272" t="s">
        <v>376</v>
      </c>
      <c r="J2" s="272" t="s">
        <v>377</v>
      </c>
      <c r="K2" s="61"/>
      <c r="L2" s="61"/>
      <c r="M2" s="61"/>
      <c r="N2" s="61"/>
      <c r="O2" s="61"/>
      <c r="P2" s="61"/>
      <c r="Q2" s="61"/>
      <c r="R2" s="61"/>
    </row>
    <row r="3" spans="1:18" x14ac:dyDescent="0.25">
      <c r="A3" s="267"/>
      <c r="B3" s="95"/>
      <c r="C3" s="95"/>
      <c r="D3" s="95"/>
      <c r="E3" s="95"/>
      <c r="F3" s="95"/>
      <c r="G3" s="95"/>
      <c r="H3" s="273"/>
      <c r="I3" s="301"/>
      <c r="J3" s="300"/>
      <c r="R3" s="59"/>
    </row>
    <row r="4" spans="1:18" x14ac:dyDescent="0.25">
      <c r="A4" s="267"/>
      <c r="B4" s="95"/>
      <c r="C4" s="95"/>
      <c r="D4" s="95"/>
      <c r="E4" s="95"/>
      <c r="F4" s="95"/>
      <c r="G4" s="95"/>
      <c r="H4" s="273"/>
      <c r="I4" s="273"/>
      <c r="J4" s="300"/>
      <c r="R4" s="59"/>
    </row>
    <row r="5" spans="1:18" x14ac:dyDescent="0.25">
      <c r="A5" s="267"/>
      <c r="B5" s="95"/>
      <c r="C5" s="95"/>
      <c r="D5" s="95"/>
      <c r="E5" s="95"/>
      <c r="F5" s="95"/>
      <c r="G5" s="95"/>
      <c r="H5" s="273"/>
      <c r="I5" s="273"/>
      <c r="J5" s="300"/>
      <c r="R5" s="59"/>
    </row>
    <row r="6" spans="1:18" x14ac:dyDescent="0.25">
      <c r="A6" s="267"/>
      <c r="B6" s="95"/>
      <c r="C6" s="95"/>
      <c r="D6" s="95"/>
      <c r="E6" s="95"/>
      <c r="F6" s="95"/>
      <c r="G6" s="95"/>
      <c r="H6" s="273"/>
      <c r="I6" s="273"/>
      <c r="J6" s="300"/>
      <c r="R6" s="59"/>
    </row>
    <row r="7" spans="1:18" x14ac:dyDescent="0.25">
      <c r="A7" s="267"/>
      <c r="B7" s="95"/>
      <c r="C7" s="95"/>
      <c r="D7" s="95"/>
      <c r="E7" s="95"/>
      <c r="F7" s="95"/>
      <c r="G7" s="95"/>
      <c r="H7" s="273"/>
      <c r="I7" s="273"/>
      <c r="J7" s="300"/>
      <c r="R7" s="59"/>
    </row>
    <row r="8" spans="1:18" x14ac:dyDescent="0.25">
      <c r="A8" s="267"/>
      <c r="B8" s="95"/>
      <c r="C8" s="95"/>
      <c r="D8" s="95"/>
      <c r="E8" s="95"/>
      <c r="F8" s="95"/>
      <c r="G8" s="95"/>
      <c r="H8" s="273"/>
      <c r="I8" s="273"/>
      <c r="J8" s="300"/>
      <c r="R8" s="59"/>
    </row>
    <row r="9" spans="1:18" ht="13" thickBot="1" x14ac:dyDescent="0.3">
      <c r="A9" s="268"/>
      <c r="B9" s="269"/>
      <c r="C9" s="269"/>
      <c r="D9" s="269"/>
      <c r="E9" s="269"/>
      <c r="F9" s="269"/>
      <c r="G9" s="269"/>
      <c r="H9" s="274"/>
      <c r="I9" s="274"/>
      <c r="J9" s="303"/>
      <c r="R9" s="59"/>
    </row>
    <row r="10" spans="1:18" ht="13" x14ac:dyDescent="0.25">
      <c r="A10" s="63"/>
      <c r="B10" s="63"/>
      <c r="C10" s="63"/>
      <c r="D10" s="63"/>
      <c r="E10" s="63"/>
      <c r="F10" s="63"/>
      <c r="G10" s="63"/>
      <c r="H10" s="275"/>
    </row>
    <row r="11" spans="1:18" x14ac:dyDescent="0.25">
      <c r="A11" s="59"/>
      <c r="B11" s="59"/>
      <c r="C11" s="59"/>
      <c r="D11" s="59"/>
      <c r="E11" s="59"/>
      <c r="F11" s="59"/>
      <c r="G11" s="59"/>
      <c r="H11" s="276"/>
    </row>
    <row r="12" spans="1:18" x14ac:dyDescent="0.25">
      <c r="A12" s="59"/>
      <c r="B12" s="59"/>
      <c r="C12" s="59"/>
      <c r="D12" s="59"/>
      <c r="E12" s="59"/>
      <c r="F12" s="59"/>
      <c r="G12" s="59"/>
      <c r="H12" s="276"/>
    </row>
    <row r="13" spans="1:18" x14ac:dyDescent="0.25">
      <c r="A13" s="59"/>
      <c r="B13" s="59"/>
      <c r="C13" s="59"/>
      <c r="D13" s="59"/>
      <c r="E13" s="59"/>
      <c r="F13" s="59"/>
      <c r="G13" s="59"/>
      <c r="H13" s="276"/>
    </row>
    <row r="14" spans="1:18" x14ac:dyDescent="0.25">
      <c r="A14" s="59"/>
      <c r="B14" s="59"/>
      <c r="C14" s="59"/>
      <c r="D14" s="59"/>
      <c r="E14" s="59"/>
      <c r="F14" s="59"/>
      <c r="G14" s="59"/>
      <c r="H14" s="276"/>
    </row>
    <row r="15" spans="1:18" x14ac:dyDescent="0.25">
      <c r="A15" s="59"/>
      <c r="B15" s="59"/>
      <c r="C15" s="59"/>
      <c r="D15" s="59"/>
      <c r="E15" s="59"/>
      <c r="F15" s="59"/>
      <c r="G15" s="59"/>
      <c r="H15" s="276"/>
    </row>
    <row r="16" spans="1:18" x14ac:dyDescent="0.25">
      <c r="A16" s="59"/>
      <c r="B16" s="59"/>
      <c r="C16" s="59"/>
      <c r="D16" s="59"/>
      <c r="E16" s="59"/>
      <c r="F16" s="59"/>
      <c r="G16" s="59"/>
      <c r="H16" s="276"/>
    </row>
    <row r="17" spans="1:8" x14ac:dyDescent="0.25">
      <c r="A17" s="59"/>
      <c r="B17" s="59"/>
      <c r="C17" s="59"/>
      <c r="D17" s="59"/>
      <c r="E17" s="59"/>
      <c r="F17" s="59"/>
      <c r="G17" s="59"/>
      <c r="H17" s="276"/>
    </row>
    <row r="18" spans="1:8" x14ac:dyDescent="0.25">
      <c r="A18" s="59"/>
      <c r="B18" s="59"/>
      <c r="C18" s="59"/>
      <c r="D18" s="59"/>
      <c r="E18" s="59"/>
      <c r="F18" s="59"/>
      <c r="G18" s="59"/>
      <c r="H18" s="276"/>
    </row>
    <row r="19" spans="1:8" x14ac:dyDescent="0.25">
      <c r="A19" s="59"/>
      <c r="B19" s="59"/>
      <c r="C19" s="59"/>
      <c r="D19" s="59"/>
      <c r="E19" s="59"/>
      <c r="F19" s="59"/>
      <c r="G19" s="59"/>
      <c r="H19" s="276"/>
    </row>
    <row r="20" spans="1:8" x14ac:dyDescent="0.25">
      <c r="A20" s="59"/>
      <c r="B20" s="59"/>
      <c r="C20" s="59"/>
      <c r="D20" s="59"/>
      <c r="E20" s="59"/>
      <c r="F20" s="59"/>
      <c r="G20" s="59"/>
      <c r="H20" s="276"/>
    </row>
    <row r="21" spans="1:8" x14ac:dyDescent="0.25">
      <c r="A21" s="59"/>
      <c r="B21" s="59"/>
      <c r="C21" s="59"/>
      <c r="D21" s="59"/>
      <c r="E21" s="59"/>
      <c r="F21" s="59"/>
      <c r="G21" s="59"/>
      <c r="H21" s="276"/>
    </row>
    <row r="22" spans="1:8" x14ac:dyDescent="0.25">
      <c r="A22" s="59"/>
      <c r="B22" s="59"/>
      <c r="C22" s="59"/>
      <c r="D22" s="59"/>
      <c r="E22" s="59"/>
      <c r="F22" s="59"/>
      <c r="G22" s="59"/>
      <c r="H22" s="276"/>
    </row>
    <row r="23" spans="1:8" x14ac:dyDescent="0.25">
      <c r="A23" s="59"/>
      <c r="B23" s="59"/>
      <c r="C23" s="59"/>
      <c r="D23" s="59"/>
      <c r="E23" s="59"/>
      <c r="F23" s="59"/>
      <c r="G23" s="59"/>
      <c r="H23" s="276"/>
    </row>
    <row r="24" spans="1:8" x14ac:dyDescent="0.25">
      <c r="A24" s="59"/>
      <c r="B24" s="59"/>
      <c r="C24" s="59"/>
      <c r="D24" s="59"/>
      <c r="E24" s="59"/>
      <c r="F24" s="59"/>
      <c r="G24" s="59"/>
      <c r="H24" s="276"/>
    </row>
    <row r="25" spans="1:8" x14ac:dyDescent="0.25">
      <c r="A25" s="59"/>
      <c r="B25" s="59"/>
      <c r="C25" s="59"/>
      <c r="D25" s="59"/>
      <c r="E25" s="59"/>
      <c r="F25" s="59"/>
      <c r="G25" s="59"/>
      <c r="H25" s="276"/>
    </row>
    <row r="26" spans="1:8" x14ac:dyDescent="0.25">
      <c r="A26" s="59"/>
      <c r="B26" s="59"/>
      <c r="C26" s="59"/>
      <c r="D26" s="59"/>
      <c r="E26" s="59"/>
      <c r="F26" s="59"/>
      <c r="G26" s="59"/>
      <c r="H26" s="276"/>
    </row>
    <row r="27" spans="1:8" x14ac:dyDescent="0.25">
      <c r="A27" s="59"/>
      <c r="B27" s="59"/>
      <c r="C27" s="59"/>
      <c r="D27" s="59"/>
      <c r="E27" s="59"/>
      <c r="F27" s="59"/>
      <c r="G27" s="59"/>
      <c r="H27" s="276"/>
    </row>
    <row r="28" spans="1:8" x14ac:dyDescent="0.25">
      <c r="A28" s="59"/>
      <c r="B28" s="59"/>
      <c r="C28" s="59"/>
      <c r="D28" s="59"/>
      <c r="E28" s="59"/>
      <c r="F28" s="59"/>
      <c r="G28" s="59"/>
      <c r="H28" s="276"/>
    </row>
    <row r="29" spans="1:8" x14ac:dyDescent="0.25">
      <c r="A29" s="59"/>
      <c r="B29" s="59"/>
      <c r="C29" s="59"/>
      <c r="D29" s="59"/>
      <c r="E29" s="59"/>
      <c r="F29" s="59"/>
      <c r="G29" s="59"/>
      <c r="H29" s="276"/>
    </row>
    <row r="30" spans="1:8" x14ac:dyDescent="0.25">
      <c r="A30" s="59"/>
      <c r="B30" s="59"/>
      <c r="C30" s="59"/>
      <c r="D30" s="59"/>
      <c r="E30" s="59"/>
      <c r="F30" s="59"/>
      <c r="G30" s="59"/>
      <c r="H30" s="276"/>
    </row>
    <row r="31" spans="1:8" x14ac:dyDescent="0.25">
      <c r="A31" s="59"/>
      <c r="B31" s="59"/>
      <c r="C31" s="59"/>
      <c r="D31" s="59"/>
      <c r="E31" s="59"/>
      <c r="F31" s="59"/>
      <c r="G31" s="59"/>
      <c r="H31" s="276"/>
    </row>
    <row r="32" spans="1:8" x14ac:dyDescent="0.25">
      <c r="A32" s="59"/>
      <c r="B32" s="59"/>
      <c r="C32" s="59"/>
      <c r="D32" s="59"/>
      <c r="E32" s="59"/>
      <c r="F32" s="59"/>
      <c r="G32" s="59"/>
      <c r="H32" s="276"/>
    </row>
    <row r="33" spans="1:8" x14ac:dyDescent="0.25">
      <c r="A33" s="59"/>
      <c r="B33" s="59"/>
      <c r="C33" s="59"/>
      <c r="D33" s="59"/>
      <c r="E33" s="59"/>
      <c r="F33" s="59"/>
      <c r="G33" s="59"/>
      <c r="H33" s="276"/>
    </row>
    <row r="34" spans="1:8" x14ac:dyDescent="0.25">
      <c r="A34" s="59"/>
      <c r="B34" s="59"/>
      <c r="C34" s="59"/>
      <c r="D34" s="59"/>
      <c r="E34" s="59"/>
      <c r="F34" s="59"/>
      <c r="G34" s="59"/>
      <c r="H34" s="276"/>
    </row>
    <row r="35" spans="1:8" x14ac:dyDescent="0.25">
      <c r="A35" s="59"/>
      <c r="B35" s="59"/>
      <c r="C35" s="59"/>
      <c r="D35" s="59"/>
      <c r="E35" s="59"/>
      <c r="F35" s="59"/>
      <c r="G35" s="59"/>
      <c r="H35" s="276"/>
    </row>
    <row r="36" spans="1:8" x14ac:dyDescent="0.25">
      <c r="A36" s="59"/>
      <c r="B36" s="59"/>
      <c r="C36" s="59"/>
      <c r="D36" s="59"/>
      <c r="E36" s="59"/>
      <c r="F36" s="59"/>
      <c r="G36" s="59"/>
      <c r="H36" s="276"/>
    </row>
    <row r="37" spans="1:8" x14ac:dyDescent="0.25">
      <c r="A37" s="59"/>
      <c r="B37" s="59"/>
      <c r="C37" s="59"/>
      <c r="D37" s="59"/>
      <c r="E37" s="59"/>
      <c r="F37" s="59"/>
      <c r="G37" s="59"/>
      <c r="H37" s="276"/>
    </row>
    <row r="38" spans="1:8" x14ac:dyDescent="0.25">
      <c r="A38" s="59"/>
      <c r="B38" s="59"/>
      <c r="C38" s="59"/>
      <c r="D38" s="59"/>
      <c r="E38" s="59"/>
      <c r="F38" s="59"/>
      <c r="G38" s="59"/>
      <c r="H38" s="276"/>
    </row>
    <row r="39" spans="1:8" x14ac:dyDescent="0.25">
      <c r="A39" s="59"/>
      <c r="B39" s="59"/>
      <c r="C39" s="59"/>
      <c r="D39" s="59"/>
      <c r="E39" s="59"/>
      <c r="F39" s="59"/>
      <c r="G39" s="59"/>
      <c r="H39" s="276"/>
    </row>
    <row r="40" spans="1:8" x14ac:dyDescent="0.25">
      <c r="A40" s="59"/>
      <c r="B40" s="59"/>
      <c r="C40" s="59"/>
      <c r="D40" s="59"/>
      <c r="E40" s="59"/>
      <c r="F40" s="59"/>
      <c r="G40" s="59"/>
      <c r="H40" s="276"/>
    </row>
    <row r="41" spans="1:8" x14ac:dyDescent="0.25">
      <c r="A41" s="59"/>
      <c r="B41" s="59"/>
      <c r="C41" s="59"/>
      <c r="D41" s="59"/>
      <c r="E41" s="59"/>
      <c r="F41" s="59"/>
      <c r="G41" s="59"/>
      <c r="H41" s="276"/>
    </row>
    <row r="42" spans="1:8" x14ac:dyDescent="0.25">
      <c r="A42" s="59"/>
      <c r="B42" s="59"/>
      <c r="C42" s="59"/>
      <c r="D42" s="59"/>
      <c r="E42" s="59"/>
      <c r="F42" s="59"/>
      <c r="G42" s="59"/>
      <c r="H42" s="276"/>
    </row>
    <row r="43" spans="1:8" x14ac:dyDescent="0.25">
      <c r="A43" s="59"/>
      <c r="B43" s="59"/>
      <c r="C43" s="59"/>
      <c r="D43" s="59"/>
      <c r="E43" s="59"/>
      <c r="F43" s="59"/>
      <c r="G43" s="59"/>
      <c r="H43" s="276"/>
    </row>
  </sheetData>
  <customSheetViews>
    <customSheetView guid="{D77630C3-E566-49F3-BD2C-D3992F8DF201}" showPageBreaks="1" printArea="1" showRuler="0">
      <selection activeCell="D11" sqref="D11"/>
      <pageMargins left="0.2" right="0.24" top="0.28000000000000003" bottom="0.27" header="0.2" footer="0.21"/>
      <printOptions headings="1"/>
      <pageSetup paperSize="9" scale="81" orientation="portrait" r:id="rId1"/>
      <headerFooter alignWithMargins="0">
        <oddHeader>&amp;C&amp;"Arial,Bold"MAP</oddHeader>
        <oddFooter>&amp;L&amp;"Times New Roman,Regular"PM-04-01
Ver 3.0/ 25-Sep-03&amp;C&amp;9© L&amp;&amp;T Infotech
For Internal Use Only&amp;R&amp;9&amp;P of &amp;N</oddFooter>
      </headerFooter>
    </customSheetView>
  </customSheetViews>
  <mergeCells count="1">
    <mergeCell ref="A1:C1"/>
  </mergeCells>
  <phoneticPr fontId="0" type="noConversion"/>
  <dataValidations count="5">
    <dataValidation type="list" allowBlank="1" showErrorMessage="1" sqref="F3:F100" xr:uid="{00000000-0002-0000-0600-000000000000}">
      <formula1>"Efforts, Schedule, Defect"</formula1>
    </dataValidation>
    <dataValidation type="date" operator="greaterThan" allowBlank="1" showInputMessage="1" showErrorMessage="1" sqref="H10:H1023 H2 A2 A10:A65536" xr:uid="{00000000-0002-0000-0600-000001000000}">
      <formula1>37622</formula1>
    </dataValidation>
    <dataValidation type="date" allowBlank="1" showInputMessage="1" showErrorMessage="1" sqref="H3:H9 J3:J9 A3:A9" xr:uid="{00000000-0002-0000-0600-000002000000}">
      <formula1>36892</formula1>
      <formula2>40179</formula2>
    </dataValidation>
    <dataValidation operator="greaterThan" allowBlank="1" showInputMessage="1" showErrorMessage="1" sqref="A1:C1" xr:uid="{00000000-0002-0000-0600-000003000000}"/>
    <dataValidation type="list" allowBlank="1" showInputMessage="1" showErrorMessage="1" sqref="I3:I9" xr:uid="{00000000-0002-0000-0600-000004000000}">
      <formula1>"Open,Closed,On Hold"</formula1>
    </dataValidation>
  </dataValidations>
  <printOptions horizontalCentered="1"/>
  <pageMargins left="0.2" right="0.24" top="0.53" bottom="0.52" header="0.2" footer="0.21"/>
  <pageSetup paperSize="9" scale="72" orientation="portrait" r:id="rId2"/>
  <headerFooter alignWithMargins="0">
    <oddHeader>&amp;C&amp;"Arial,Bold"&amp;9Metrics Action Plan</oddHeader>
    <oddFooter>&amp;L&amp;8PM-04-01
Ver 4.01/ 29-Sep-04&amp;C&amp;"Arial,Bold"&amp;9© L&amp;&amp;T Infotech Internal Use&amp;R&amp;9&amp;P of &amp;N</oddFooter>
  </headerFooter>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B1:I31"/>
  <sheetViews>
    <sheetView showGridLines="0" zoomScaleNormal="100" workbookViewId="0">
      <selection activeCell="I22" sqref="I22"/>
    </sheetView>
  </sheetViews>
  <sheetFormatPr defaultColWidth="9.08984375" defaultRowHeight="11.5" x14ac:dyDescent="0.25"/>
  <cols>
    <col min="1" max="1" width="1.6328125" style="80" customWidth="1"/>
    <col min="2" max="2" width="9.08984375" style="80"/>
    <col min="3" max="3" width="11.90625" style="80" customWidth="1"/>
    <col min="4" max="4" width="22.36328125" style="80" customWidth="1"/>
    <col min="5" max="5" width="4.6328125" style="80" customWidth="1"/>
    <col min="6" max="6" width="5" style="80" customWidth="1"/>
    <col min="7" max="7" width="4.6328125" style="80" customWidth="1"/>
    <col min="8" max="8" width="4.54296875" style="80" customWidth="1"/>
    <col min="9" max="9" width="22.453125" style="80" customWidth="1"/>
    <col min="10" max="16384" width="9.08984375" style="80"/>
  </cols>
  <sheetData>
    <row r="1" spans="2:9" s="105" customFormat="1" ht="39" customHeight="1" x14ac:dyDescent="0.25">
      <c r="B1" s="419"/>
      <c r="C1" s="419"/>
      <c r="D1" s="418" t="s">
        <v>373</v>
      </c>
      <c r="E1" s="418"/>
      <c r="F1" s="418"/>
      <c r="G1" s="418"/>
      <c r="H1" s="418"/>
      <c r="I1" s="418"/>
    </row>
    <row r="2" spans="2:9" s="105" customFormat="1" ht="4.5" customHeight="1" thickBot="1" x14ac:dyDescent="0.3">
      <c r="C2" s="107"/>
      <c r="D2" s="106"/>
      <c r="E2" s="106"/>
      <c r="F2" s="106"/>
    </row>
    <row r="3" spans="2:9" s="108" customFormat="1" ht="125.25" customHeight="1" thickTop="1" thickBot="1" x14ac:dyDescent="0.3">
      <c r="B3" s="420" t="s">
        <v>349</v>
      </c>
      <c r="C3" s="421"/>
      <c r="D3" s="421"/>
      <c r="E3" s="421"/>
      <c r="F3" s="421"/>
      <c r="G3" s="421"/>
      <c r="H3" s="421"/>
      <c r="I3" s="422"/>
    </row>
    <row r="4" spans="2:9" s="108" customFormat="1" ht="5.25" customHeight="1" thickTop="1" x14ac:dyDescent="0.25">
      <c r="D4" s="109"/>
      <c r="E4" s="109"/>
    </row>
    <row r="5" spans="2:9" ht="47.25" customHeight="1" x14ac:dyDescent="0.25">
      <c r="B5" s="123" t="s">
        <v>278</v>
      </c>
      <c r="C5" s="111" t="s">
        <v>38</v>
      </c>
      <c r="D5" s="111" t="s">
        <v>279</v>
      </c>
      <c r="E5" s="121" t="s">
        <v>32</v>
      </c>
      <c r="F5" s="121" t="s">
        <v>242</v>
      </c>
      <c r="G5" s="121" t="s">
        <v>25</v>
      </c>
      <c r="H5" s="121" t="s">
        <v>255</v>
      </c>
      <c r="I5" s="111" t="s">
        <v>280</v>
      </c>
    </row>
    <row r="6" spans="2:9" ht="57.5" x14ac:dyDescent="0.25">
      <c r="B6" s="122" t="s">
        <v>281</v>
      </c>
      <c r="C6" s="122" t="s">
        <v>282</v>
      </c>
      <c r="D6" s="122" t="s">
        <v>283</v>
      </c>
      <c r="E6" s="122" t="s">
        <v>284</v>
      </c>
      <c r="F6" s="122" t="s">
        <v>285</v>
      </c>
      <c r="G6" s="122" t="s">
        <v>285</v>
      </c>
      <c r="H6" s="122" t="s">
        <v>285</v>
      </c>
      <c r="I6" s="122" t="s">
        <v>286</v>
      </c>
    </row>
    <row r="7" spans="2:9" ht="80.5" x14ac:dyDescent="0.25">
      <c r="B7" s="122"/>
      <c r="C7" s="122"/>
      <c r="D7" s="122" t="s">
        <v>287</v>
      </c>
      <c r="E7" s="122" t="str">
        <f>IF(E6="","",E6)</f>
        <v>H/L</v>
      </c>
      <c r="F7" s="122" t="str">
        <f>IF(F6="","",F6)</f>
        <v>H</v>
      </c>
      <c r="G7" s="122" t="str">
        <f>IF(G6="","",G6)</f>
        <v>H</v>
      </c>
      <c r="H7" s="122" t="str">
        <f>IF(H6="","",H6)</f>
        <v>H</v>
      </c>
      <c r="I7" s="122" t="s">
        <v>288</v>
      </c>
    </row>
    <row r="8" spans="2:9" ht="23" x14ac:dyDescent="0.25">
      <c r="B8" s="122" t="s">
        <v>289</v>
      </c>
      <c r="C8" s="122" t="s">
        <v>290</v>
      </c>
      <c r="D8" s="122" t="s">
        <v>291</v>
      </c>
      <c r="E8" s="122" t="s">
        <v>285</v>
      </c>
      <c r="F8" s="122" t="s">
        <v>285</v>
      </c>
      <c r="G8" s="122"/>
      <c r="H8" s="122" t="s">
        <v>285</v>
      </c>
      <c r="I8" s="122" t="s">
        <v>292</v>
      </c>
    </row>
    <row r="9" spans="2:9" ht="23" x14ac:dyDescent="0.25">
      <c r="B9" s="122"/>
      <c r="C9" s="122"/>
      <c r="D9" s="122" t="s">
        <v>293</v>
      </c>
      <c r="E9" s="122"/>
      <c r="F9" s="122" t="s">
        <v>285</v>
      </c>
      <c r="G9" s="122" t="s">
        <v>285</v>
      </c>
      <c r="H9" s="122"/>
      <c r="I9" s="122" t="s">
        <v>294</v>
      </c>
    </row>
    <row r="10" spans="2:9" ht="34.5" x14ac:dyDescent="0.25">
      <c r="B10" s="122"/>
      <c r="C10" s="122"/>
      <c r="D10" s="122" t="s">
        <v>295</v>
      </c>
      <c r="E10" s="122"/>
      <c r="F10" s="122" t="s">
        <v>285</v>
      </c>
      <c r="G10" s="122" t="s">
        <v>285</v>
      </c>
      <c r="H10" s="122"/>
      <c r="I10" s="122" t="s">
        <v>296</v>
      </c>
    </row>
    <row r="11" spans="2:9" ht="23" x14ac:dyDescent="0.25">
      <c r="B11" s="122"/>
      <c r="C11" s="122" t="s">
        <v>297</v>
      </c>
      <c r="D11" s="122" t="s">
        <v>298</v>
      </c>
      <c r="E11" s="122"/>
      <c r="F11" s="122" t="s">
        <v>299</v>
      </c>
      <c r="G11" s="122"/>
      <c r="H11" s="122"/>
      <c r="I11" s="122" t="s">
        <v>300</v>
      </c>
    </row>
    <row r="12" spans="2:9" ht="34.5" x14ac:dyDescent="0.25">
      <c r="B12" s="122"/>
      <c r="C12" s="122" t="s">
        <v>301</v>
      </c>
      <c r="D12" s="122"/>
      <c r="E12" s="122"/>
      <c r="F12" s="122" t="s">
        <v>284</v>
      </c>
      <c r="G12" s="122" t="s">
        <v>284</v>
      </c>
      <c r="H12" s="122"/>
      <c r="I12" s="122" t="s">
        <v>302</v>
      </c>
    </row>
    <row r="13" spans="2:9" ht="34.5" x14ac:dyDescent="0.25">
      <c r="B13" s="122" t="s">
        <v>109</v>
      </c>
      <c r="C13" s="122" t="s">
        <v>303</v>
      </c>
      <c r="D13" s="122" t="s">
        <v>304</v>
      </c>
      <c r="E13" s="122"/>
      <c r="F13" s="122" t="s">
        <v>285</v>
      </c>
      <c r="G13" s="122"/>
      <c r="H13" s="122" t="s">
        <v>285</v>
      </c>
      <c r="I13" s="122" t="s">
        <v>305</v>
      </c>
    </row>
    <row r="14" spans="2:9" ht="34.5" x14ac:dyDescent="0.25">
      <c r="B14" s="122"/>
      <c r="C14" s="122" t="s">
        <v>306</v>
      </c>
      <c r="D14" s="122"/>
      <c r="E14" s="122"/>
      <c r="F14" s="122"/>
      <c r="G14" s="122"/>
      <c r="H14" s="122" t="s">
        <v>285</v>
      </c>
      <c r="I14" s="122" t="s">
        <v>307</v>
      </c>
    </row>
    <row r="15" spans="2:9" ht="51" customHeight="1" x14ac:dyDescent="0.25">
      <c r="B15" s="122" t="s">
        <v>308</v>
      </c>
      <c r="C15" s="122" t="s">
        <v>303</v>
      </c>
      <c r="D15" s="122" t="s">
        <v>309</v>
      </c>
      <c r="E15" s="122"/>
      <c r="F15" s="122" t="s">
        <v>285</v>
      </c>
      <c r="G15" s="122" t="s">
        <v>285</v>
      </c>
      <c r="H15" s="122"/>
      <c r="I15" s="122" t="s">
        <v>310</v>
      </c>
    </row>
    <row r="16" spans="2:9" ht="45.75" customHeight="1" x14ac:dyDescent="0.25">
      <c r="B16" s="122" t="s">
        <v>311</v>
      </c>
      <c r="C16" s="122" t="s">
        <v>312</v>
      </c>
      <c r="D16" s="122" t="s">
        <v>313</v>
      </c>
      <c r="E16" s="122"/>
      <c r="F16" s="122" t="s">
        <v>285</v>
      </c>
      <c r="G16" s="122" t="s">
        <v>285</v>
      </c>
      <c r="H16" s="122" t="s">
        <v>285</v>
      </c>
      <c r="I16" s="122" t="s">
        <v>314</v>
      </c>
    </row>
    <row r="17" spans="2:9" ht="46" x14ac:dyDescent="0.25">
      <c r="B17" s="122"/>
      <c r="C17" s="122"/>
      <c r="D17" s="122" t="s">
        <v>315</v>
      </c>
      <c r="E17" s="122"/>
      <c r="F17" s="122" t="s">
        <v>285</v>
      </c>
      <c r="G17" s="122" t="s">
        <v>285</v>
      </c>
      <c r="H17" s="122" t="s">
        <v>285</v>
      </c>
      <c r="I17" s="122" t="s">
        <v>316</v>
      </c>
    </row>
    <row r="18" spans="2:9" ht="46" x14ac:dyDescent="0.25">
      <c r="B18" s="122"/>
      <c r="C18" s="122"/>
      <c r="D18" s="122" t="s">
        <v>317</v>
      </c>
      <c r="E18" s="122"/>
      <c r="F18" s="122" t="s">
        <v>285</v>
      </c>
      <c r="G18" s="122" t="s">
        <v>285</v>
      </c>
      <c r="H18" s="122" t="s">
        <v>285</v>
      </c>
      <c r="I18" s="122" t="s">
        <v>318</v>
      </c>
    </row>
    <row r="19" spans="2:9" ht="46" x14ac:dyDescent="0.25">
      <c r="B19" s="122"/>
      <c r="C19" s="122" t="s">
        <v>319</v>
      </c>
      <c r="D19" s="122"/>
      <c r="E19" s="122"/>
      <c r="F19" s="122" t="s">
        <v>299</v>
      </c>
      <c r="G19" s="122" t="s">
        <v>299</v>
      </c>
      <c r="H19" s="122" t="s">
        <v>299</v>
      </c>
      <c r="I19" s="122" t="s">
        <v>320</v>
      </c>
    </row>
    <row r="20" spans="2:9" ht="34.5" x14ac:dyDescent="0.25">
      <c r="B20" s="122" t="s">
        <v>321</v>
      </c>
      <c r="C20" s="122" t="s">
        <v>322</v>
      </c>
      <c r="D20" s="122" t="s">
        <v>323</v>
      </c>
      <c r="E20" s="122"/>
      <c r="F20" s="122" t="s">
        <v>299</v>
      </c>
      <c r="G20" s="122" t="s">
        <v>299</v>
      </c>
      <c r="H20" s="122" t="s">
        <v>299</v>
      </c>
      <c r="I20" s="122" t="s">
        <v>324</v>
      </c>
    </row>
    <row r="21" spans="2:9" ht="34.5" x14ac:dyDescent="0.25">
      <c r="B21" s="122"/>
      <c r="C21" s="122"/>
      <c r="D21" s="122" t="s">
        <v>325</v>
      </c>
      <c r="E21" s="122"/>
      <c r="F21" s="122" t="s">
        <v>299</v>
      </c>
      <c r="G21" s="122" t="s">
        <v>299</v>
      </c>
      <c r="H21" s="122" t="s">
        <v>285</v>
      </c>
      <c r="I21" s="122" t="s">
        <v>326</v>
      </c>
    </row>
    <row r="22" spans="2:9" ht="23" x14ac:dyDescent="0.25">
      <c r="B22" s="122" t="s">
        <v>327</v>
      </c>
      <c r="C22" s="122" t="s">
        <v>328</v>
      </c>
      <c r="D22" s="122" t="s">
        <v>329</v>
      </c>
      <c r="E22" s="122"/>
      <c r="F22" s="122" t="s">
        <v>285</v>
      </c>
      <c r="G22" s="122" t="s">
        <v>285</v>
      </c>
      <c r="H22" s="122"/>
      <c r="I22" s="122"/>
    </row>
    <row r="23" spans="2:9" ht="23" x14ac:dyDescent="0.25">
      <c r="B23" s="122"/>
      <c r="C23" s="122"/>
      <c r="D23" s="122" t="s">
        <v>330</v>
      </c>
      <c r="E23" s="122"/>
      <c r="F23" s="122"/>
      <c r="G23" s="122" t="s">
        <v>285</v>
      </c>
      <c r="H23" s="122"/>
      <c r="I23" s="122" t="s">
        <v>331</v>
      </c>
    </row>
    <row r="24" spans="2:9" ht="34.5" x14ac:dyDescent="0.25">
      <c r="B24" s="122" t="s">
        <v>332</v>
      </c>
      <c r="C24" s="122" t="s">
        <v>333</v>
      </c>
      <c r="D24" s="122" t="s">
        <v>334</v>
      </c>
      <c r="E24" s="122"/>
      <c r="F24" s="122"/>
      <c r="G24" s="122" t="s">
        <v>285</v>
      </c>
      <c r="H24" s="122"/>
      <c r="I24" s="122"/>
    </row>
    <row r="25" spans="2:9" ht="23" x14ac:dyDescent="0.25">
      <c r="B25" s="122"/>
      <c r="C25" s="122"/>
      <c r="D25" s="122" t="s">
        <v>335</v>
      </c>
      <c r="E25" s="122"/>
      <c r="F25" s="122"/>
      <c r="G25" s="122" t="s">
        <v>285</v>
      </c>
      <c r="H25" s="122"/>
      <c r="I25" s="122"/>
    </row>
    <row r="26" spans="2:9" ht="23" x14ac:dyDescent="0.25">
      <c r="B26" s="122"/>
      <c r="C26" s="122"/>
      <c r="D26" s="122" t="s">
        <v>336</v>
      </c>
      <c r="E26" s="122"/>
      <c r="F26" s="122" t="s">
        <v>285</v>
      </c>
      <c r="G26" s="122" t="s">
        <v>285</v>
      </c>
      <c r="H26" s="122"/>
      <c r="I26" s="122"/>
    </row>
    <row r="27" spans="2:9" ht="57.5" x14ac:dyDescent="0.25">
      <c r="B27" s="122" t="s">
        <v>337</v>
      </c>
      <c r="C27" s="122" t="s">
        <v>338</v>
      </c>
      <c r="D27" s="122" t="s">
        <v>339</v>
      </c>
      <c r="E27" s="122"/>
      <c r="F27" s="122"/>
      <c r="G27" s="122"/>
      <c r="H27" s="122" t="s">
        <v>285</v>
      </c>
      <c r="I27" s="122" t="s">
        <v>340</v>
      </c>
    </row>
    <row r="28" spans="2:9" ht="23" x14ac:dyDescent="0.25">
      <c r="B28" s="122"/>
      <c r="C28" s="122" t="s">
        <v>341</v>
      </c>
      <c r="D28" s="122" t="s">
        <v>342</v>
      </c>
      <c r="E28" s="122"/>
      <c r="F28" s="122"/>
      <c r="G28" s="122"/>
      <c r="H28" s="122" t="s">
        <v>299</v>
      </c>
      <c r="I28" s="122" t="s">
        <v>320</v>
      </c>
    </row>
    <row r="29" spans="2:9" ht="46" x14ac:dyDescent="0.25">
      <c r="B29" s="122"/>
      <c r="C29" s="122"/>
      <c r="D29" s="122" t="s">
        <v>343</v>
      </c>
      <c r="E29" s="122"/>
      <c r="F29" s="122"/>
      <c r="G29" s="122"/>
      <c r="H29" s="122" t="s">
        <v>299</v>
      </c>
      <c r="I29" s="122" t="s">
        <v>344</v>
      </c>
    </row>
    <row r="30" spans="2:9" ht="34.5" x14ac:dyDescent="0.25">
      <c r="B30" s="122" t="s">
        <v>345</v>
      </c>
      <c r="C30" s="122" t="s">
        <v>346</v>
      </c>
      <c r="D30" s="122"/>
      <c r="E30" s="122"/>
      <c r="F30" s="122" t="s">
        <v>299</v>
      </c>
      <c r="G30" s="122" t="s">
        <v>299</v>
      </c>
      <c r="H30" s="122" t="s">
        <v>299</v>
      </c>
      <c r="I30" s="122" t="s">
        <v>347</v>
      </c>
    </row>
    <row r="31" spans="2:9" ht="23" x14ac:dyDescent="0.25">
      <c r="B31" s="122" t="s">
        <v>303</v>
      </c>
      <c r="C31" s="122"/>
      <c r="D31" s="122" t="s">
        <v>348</v>
      </c>
      <c r="E31" s="122"/>
      <c r="F31" s="122" t="s">
        <v>285</v>
      </c>
      <c r="G31" s="122"/>
      <c r="H31" s="122"/>
      <c r="I31" s="122"/>
    </row>
  </sheetData>
  <sheetProtection sheet="1" objects="1" scenarios="1"/>
  <mergeCells count="3">
    <mergeCell ref="D1:I1"/>
    <mergeCell ref="B1:C1"/>
    <mergeCell ref="B3:I3"/>
  </mergeCells>
  <phoneticPr fontId="0" type="noConversion"/>
  <printOptions horizontalCentered="1"/>
  <pageMargins left="0.2" right="0.24" top="0.53" bottom="0.52" header="0.2" footer="0.21"/>
  <pageSetup paperSize="9" scale="57" orientation="portrait" r:id="rId1"/>
  <headerFooter alignWithMargins="0">
    <oddHeader>&amp;C&amp;"Arial,Bold"&amp;9Metrics Action Plan</oddHeader>
    <oddFooter>&amp;L&amp;8PM-04-01
Ver 4.01/ 29-Sep-04&amp;C&amp;"Arial,Bold"&amp;9© L&amp;&amp;T Infotech Internal Use&amp;R&amp;9&amp;P of &amp;N</oddFooter>
  </headerFooter>
  <rowBreaks count="1" manualBreakCount="1">
    <brk id="15" max="16383"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B1:D32"/>
  <sheetViews>
    <sheetView showGridLines="0" zoomScaleNormal="100" workbookViewId="0">
      <selection activeCell="D27" sqref="D27"/>
    </sheetView>
  </sheetViews>
  <sheetFormatPr defaultColWidth="9.08984375" defaultRowHeight="11.5" x14ac:dyDescent="0.25"/>
  <cols>
    <col min="1" max="1" width="3.54296875" style="79" customWidth="1"/>
    <col min="2" max="2" width="40.90625" style="79" customWidth="1"/>
    <col min="3" max="3" width="31.36328125" style="79" customWidth="1"/>
    <col min="4" max="4" width="8.6328125" style="79" customWidth="1"/>
    <col min="5" max="16384" width="9.08984375" style="79"/>
  </cols>
  <sheetData>
    <row r="1" spans="2:4" ht="12" thickBot="1" x14ac:dyDescent="0.3"/>
    <row r="2" spans="2:4" ht="23.25" customHeight="1" x14ac:dyDescent="0.25">
      <c r="B2" s="423" t="s">
        <v>156</v>
      </c>
      <c r="C2" s="424"/>
      <c r="D2" s="425"/>
    </row>
    <row r="3" spans="2:4" ht="12" customHeight="1" x14ac:dyDescent="0.25">
      <c r="B3" s="325" t="s">
        <v>72</v>
      </c>
      <c r="C3" s="326" t="s">
        <v>73</v>
      </c>
      <c r="D3" s="327" t="s">
        <v>74</v>
      </c>
    </row>
    <row r="4" spans="2:4" ht="27.75" customHeight="1" x14ac:dyDescent="0.25">
      <c r="B4" s="328" t="s">
        <v>75</v>
      </c>
      <c r="C4" s="329"/>
      <c r="D4" s="330"/>
    </row>
    <row r="5" spans="2:4" ht="27" customHeight="1" x14ac:dyDescent="0.25">
      <c r="B5" s="331" t="s">
        <v>76</v>
      </c>
      <c r="C5" s="329" t="s">
        <v>77</v>
      </c>
      <c r="D5" s="330" t="s">
        <v>383</v>
      </c>
    </row>
    <row r="6" spans="2:4" x14ac:dyDescent="0.25">
      <c r="B6" s="331" t="s">
        <v>78</v>
      </c>
      <c r="C6" s="329"/>
      <c r="D6" s="330"/>
    </row>
    <row r="7" spans="2:4" ht="26.25" customHeight="1" x14ac:dyDescent="0.25">
      <c r="B7" s="331"/>
      <c r="C7" s="329" t="s">
        <v>79</v>
      </c>
      <c r="D7" s="330" t="s">
        <v>182</v>
      </c>
    </row>
    <row r="8" spans="2:4" ht="14.25" customHeight="1" x14ac:dyDescent="0.25">
      <c r="B8" s="328" t="s">
        <v>80</v>
      </c>
      <c r="C8" s="329"/>
      <c r="D8" s="330" t="s">
        <v>411</v>
      </c>
    </row>
    <row r="9" spans="2:4" ht="27.75" customHeight="1" x14ac:dyDescent="0.25">
      <c r="B9" s="331" t="s">
        <v>76</v>
      </c>
      <c r="C9" s="329" t="s">
        <v>77</v>
      </c>
      <c r="D9" s="330" t="s">
        <v>182</v>
      </c>
    </row>
    <row r="10" spans="2:4" ht="39.75" customHeight="1" x14ac:dyDescent="0.25">
      <c r="B10" s="328" t="s">
        <v>81</v>
      </c>
      <c r="C10" s="329"/>
      <c r="D10" s="330" t="s">
        <v>383</v>
      </c>
    </row>
    <row r="11" spans="2:4" ht="15" customHeight="1" x14ac:dyDescent="0.25">
      <c r="B11" s="328" t="s">
        <v>82</v>
      </c>
      <c r="C11" s="329"/>
      <c r="D11" s="330" t="s">
        <v>383</v>
      </c>
    </row>
    <row r="12" spans="2:4" ht="27.75" customHeight="1" x14ac:dyDescent="0.25">
      <c r="B12" s="328" t="s">
        <v>83</v>
      </c>
      <c r="C12" s="329"/>
      <c r="D12" s="330" t="s">
        <v>411</v>
      </c>
    </row>
    <row r="13" spans="2:4" ht="27" customHeight="1" x14ac:dyDescent="0.25">
      <c r="B13" s="331" t="s">
        <v>76</v>
      </c>
      <c r="C13" s="329" t="s">
        <v>88</v>
      </c>
      <c r="D13" s="330" t="s">
        <v>182</v>
      </c>
    </row>
    <row r="14" spans="2:4" ht="25.5" customHeight="1" x14ac:dyDescent="0.25">
      <c r="B14" s="331" t="s">
        <v>76</v>
      </c>
      <c r="C14" s="329" t="s">
        <v>89</v>
      </c>
      <c r="D14" s="330" t="s">
        <v>182</v>
      </c>
    </row>
    <row r="15" spans="2:4" ht="27.75" customHeight="1" x14ac:dyDescent="0.25">
      <c r="B15" s="328" t="s">
        <v>90</v>
      </c>
      <c r="C15" s="329"/>
      <c r="D15" s="330" t="s">
        <v>411</v>
      </c>
    </row>
    <row r="16" spans="2:4" ht="37.5" customHeight="1" x14ac:dyDescent="0.25">
      <c r="B16" s="331" t="s">
        <v>76</v>
      </c>
      <c r="C16" s="329" t="s">
        <v>91</v>
      </c>
      <c r="D16" s="330" t="s">
        <v>182</v>
      </c>
    </row>
    <row r="17" spans="2:4" ht="27" customHeight="1" x14ac:dyDescent="0.25">
      <c r="B17" s="331" t="s">
        <v>76</v>
      </c>
      <c r="C17" s="329" t="s">
        <v>92</v>
      </c>
      <c r="D17" s="330" t="s">
        <v>182</v>
      </c>
    </row>
    <row r="18" spans="2:4" ht="27" customHeight="1" x14ac:dyDescent="0.25">
      <c r="B18" s="331" t="s">
        <v>76</v>
      </c>
      <c r="C18" s="329" t="s">
        <v>93</v>
      </c>
      <c r="D18" s="330" t="s">
        <v>182</v>
      </c>
    </row>
    <row r="19" spans="2:4" ht="38.25" customHeight="1" x14ac:dyDescent="0.25">
      <c r="B19" s="331" t="s">
        <v>76</v>
      </c>
      <c r="C19" s="329" t="s">
        <v>94</v>
      </c>
      <c r="D19" s="330" t="s">
        <v>182</v>
      </c>
    </row>
    <row r="20" spans="2:4" ht="27" customHeight="1" x14ac:dyDescent="0.25">
      <c r="B20" s="331" t="s">
        <v>95</v>
      </c>
      <c r="C20" s="329"/>
      <c r="D20" s="330" t="s">
        <v>383</v>
      </c>
    </row>
    <row r="21" spans="2:4" ht="26.25" customHeight="1" x14ac:dyDescent="0.25">
      <c r="B21" s="331" t="s">
        <v>78</v>
      </c>
      <c r="C21" s="329" t="s">
        <v>96</v>
      </c>
      <c r="D21" s="330" t="s">
        <v>182</v>
      </c>
    </row>
    <row r="22" spans="2:4" ht="42.75" customHeight="1" x14ac:dyDescent="0.25">
      <c r="B22" s="328" t="s">
        <v>97</v>
      </c>
      <c r="C22" s="329"/>
      <c r="D22" s="330" t="s">
        <v>383</v>
      </c>
    </row>
    <row r="23" spans="2:4" ht="41.25" customHeight="1" x14ac:dyDescent="0.25">
      <c r="B23" s="328" t="s">
        <v>98</v>
      </c>
      <c r="C23" s="329"/>
      <c r="D23" s="330" t="s">
        <v>411</v>
      </c>
    </row>
    <row r="24" spans="2:4" ht="27.75" customHeight="1" x14ac:dyDescent="0.25">
      <c r="B24" s="331" t="s">
        <v>76</v>
      </c>
      <c r="C24" s="329" t="s">
        <v>214</v>
      </c>
      <c r="D24" s="330" t="s">
        <v>182</v>
      </c>
    </row>
    <row r="25" spans="2:4" ht="15" customHeight="1" x14ac:dyDescent="0.25">
      <c r="B25" s="332" t="s">
        <v>99</v>
      </c>
      <c r="C25" s="333"/>
      <c r="D25" s="330"/>
    </row>
    <row r="26" spans="2:4" ht="16.5" customHeight="1" x14ac:dyDescent="0.25">
      <c r="B26" s="328" t="s">
        <v>100</v>
      </c>
      <c r="C26" s="343">
        <v>44091</v>
      </c>
      <c r="D26" s="330"/>
    </row>
    <row r="27" spans="2:4" ht="15" customHeight="1" x14ac:dyDescent="0.25">
      <c r="B27" s="328" t="s">
        <v>101</v>
      </c>
      <c r="C27" s="343">
        <v>44098</v>
      </c>
      <c r="D27" s="330"/>
    </row>
    <row r="28" spans="2:4" ht="27" customHeight="1" x14ac:dyDescent="0.25">
      <c r="B28" s="328" t="s">
        <v>102</v>
      </c>
      <c r="C28" s="329">
        <v>8.83</v>
      </c>
      <c r="D28" s="330"/>
    </row>
    <row r="29" spans="2:4" ht="14.25" customHeight="1" x14ac:dyDescent="0.25">
      <c r="B29" s="328" t="s">
        <v>103</v>
      </c>
      <c r="C29" s="329">
        <v>0</v>
      </c>
      <c r="D29" s="330"/>
    </row>
    <row r="30" spans="2:4" ht="15.75" customHeight="1" x14ac:dyDescent="0.25">
      <c r="B30" s="328" t="s">
        <v>104</v>
      </c>
      <c r="C30" s="329">
        <v>45</v>
      </c>
      <c r="D30" s="330"/>
    </row>
    <row r="31" spans="2:4" ht="12.75" customHeight="1" x14ac:dyDescent="0.25">
      <c r="B31" s="328" t="s">
        <v>157</v>
      </c>
      <c r="C31" s="343">
        <v>44101</v>
      </c>
      <c r="D31" s="330"/>
    </row>
    <row r="32" spans="2:4" ht="69.5" thickBot="1" x14ac:dyDescent="0.3">
      <c r="B32" s="334" t="s">
        <v>213</v>
      </c>
      <c r="C32" s="335"/>
      <c r="D32" s="330" t="s">
        <v>383</v>
      </c>
    </row>
  </sheetData>
  <sheetProtection sheet="1" objects="1" scenarios="1"/>
  <customSheetViews>
    <customSheetView guid="{D77630C3-E566-49F3-BD2C-D3992F8DF201}" showPageBreaks="1" printArea="1" showRuler="0">
      <selection activeCell="D4" sqref="D4"/>
      <pageMargins left="0.2" right="0.24" top="0.53" bottom="0.27" header="0.2" footer="0.21"/>
      <printOptions headings="1"/>
      <pageSetup paperSize="9" scale="81" orientation="portrait" horizontalDpi="200" verticalDpi="200" r:id="rId1"/>
      <headerFooter alignWithMargins="0">
        <oddHeader>&amp;C&amp;"Arial,Bold"&amp;9MAP</oddHeader>
        <oddFooter>&amp;L&amp;8PM-04-01
Ver 3.0/ 25-Sep-03&amp;C&amp;"Arial,Bold"&amp;9© L&amp;&amp;T Infotech&amp;"Arial,Regular"
&amp;8For Internal Use Only&amp;R&amp;9&amp;P of &amp;N</oddFooter>
      </headerFooter>
    </customSheetView>
    <customSheetView guid="{99472ED2-59D2-11D7-A477-0010B5BCD3CB}" showRuler="0">
      <selection activeCell="B26" sqref="B26"/>
      <pageMargins left="0.75" right="0.75" top="1" bottom="1" header="0.5" footer="0.5"/>
      <pageSetup orientation="portrait" horizontalDpi="200" verticalDpi="200" copies="0" r:id="rId2"/>
      <headerFooter alignWithMargins="0"/>
    </customSheetView>
  </customSheetViews>
  <mergeCells count="1">
    <mergeCell ref="B2:D2"/>
  </mergeCells>
  <phoneticPr fontId="0" type="noConversion"/>
  <dataValidations count="1">
    <dataValidation type="list" allowBlank="1" showInputMessage="1" showErrorMessage="1" sqref="D4:D24 D26:D32" xr:uid="{00000000-0002-0000-0800-000000000000}">
      <formula1>"N,Y,NA"</formula1>
    </dataValidation>
  </dataValidations>
  <printOptions horizontalCentered="1"/>
  <pageMargins left="0.2" right="0.24" top="0.53" bottom="0.52" header="0.2" footer="0.21"/>
  <pageSetup paperSize="9" scale="96" orientation="portrait" r:id="rId3"/>
  <headerFooter alignWithMargins="0">
    <oddHeader>&amp;C&amp;"Arial,Bold"&amp;9Metrics Action Plan</oddHeader>
    <oddFooter>&amp;L&amp;8PM-04-01
Ver 4.01/ 29-Sep-04&amp;C&amp;"Arial,Bold"&amp;9© L&amp;&amp;T Infotech Internal Use&amp;R&amp;9&amp;P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A92F1126E650D428AAF4DCCFBB26E19" ma:contentTypeVersion="9" ma:contentTypeDescription="Create a new document." ma:contentTypeScope="" ma:versionID="aecc5bf83fc6a5a945ab98f477c1dc15">
  <xsd:schema xmlns:xsd="http://www.w3.org/2001/XMLSchema" xmlns:xs="http://www.w3.org/2001/XMLSchema" xmlns:p="http://schemas.microsoft.com/office/2006/metadata/properties" xmlns:ns2="28a4c2e2-19fe-42a5-bd58-72eddb65ae70" targetNamespace="http://schemas.microsoft.com/office/2006/metadata/properties" ma:root="true" ma:fieldsID="e7d16bcaae5c2d3d5db1558463391f64" ns2:_="">
    <xsd:import namespace="28a4c2e2-19fe-42a5-bd58-72eddb65ae7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a4c2e2-19fe-42a5-bd58-72eddb65ae7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52CC72-AD78-45DA-A8DD-511E490A23A0}">
  <ds:schemaRefs>
    <ds:schemaRef ds:uri="http://schemas.microsoft.com/office/2006/metadata/propertie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purl.org/dc/terms/"/>
    <ds:schemaRef ds:uri="http://purl.org/dc/elements/1.1/"/>
    <ds:schemaRef ds:uri="28a4c2e2-19fe-42a5-bd58-72eddb65ae70"/>
    <ds:schemaRef ds:uri="http://www.w3.org/XML/1998/namespace"/>
  </ds:schemaRefs>
</ds:datastoreItem>
</file>

<file path=customXml/itemProps2.xml><?xml version="1.0" encoding="utf-8"?>
<ds:datastoreItem xmlns:ds="http://schemas.openxmlformats.org/officeDocument/2006/customXml" ds:itemID="{467C9C35-83A7-49F0-A130-8B77CA1B155F}">
  <ds:schemaRefs>
    <ds:schemaRef ds:uri="http://schemas.microsoft.com/sharepoint/v3/contenttype/forms"/>
  </ds:schemaRefs>
</ds:datastoreItem>
</file>

<file path=customXml/itemProps3.xml><?xml version="1.0" encoding="utf-8"?>
<ds:datastoreItem xmlns:ds="http://schemas.openxmlformats.org/officeDocument/2006/customXml" ds:itemID="{0F457B97-A028-41F7-A2AE-D81E360CBA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a4c2e2-19fe-42a5-bd58-72eddb65ae7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Project Info</vt:lpstr>
      <vt:lpstr>Effort and Schedule</vt:lpstr>
      <vt:lpstr>Defect Data</vt:lpstr>
      <vt:lpstr>Data Collection Guidelines</vt:lpstr>
      <vt:lpstr>Summary</vt:lpstr>
      <vt:lpstr>Graphs</vt:lpstr>
      <vt:lpstr>Causal Analysis</vt:lpstr>
      <vt:lpstr>Causal Analysis Guidelines</vt:lpstr>
      <vt:lpstr>Checklist to be filled by PL</vt:lpstr>
      <vt:lpstr>'Causal Analysis'!Print_Area</vt:lpstr>
      <vt:lpstr>'Checklist to be filled by PL'!Print_Area</vt:lpstr>
      <vt:lpstr>'Data Collection Guidelines'!Print_Area</vt:lpstr>
      <vt:lpstr>'Defect Data'!Print_Area</vt:lpstr>
      <vt:lpstr>'Effort and Schedule'!Print_Area</vt:lpstr>
      <vt:lpstr>Graphs!Print_Area</vt:lpstr>
      <vt:lpstr>'Project Info'!Print_Area</vt:lpstr>
      <vt:lpstr>Summary!Print_Area</vt:lpstr>
      <vt:lpstr>'Causal Analysis Guidelines'!Print_Titles</vt:lpstr>
    </vt:vector>
  </TitlesOfParts>
  <Company>L&amp;T Infotech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Quality Group</dc:creator>
  <cp:lastModifiedBy>HP 1018tx</cp:lastModifiedBy>
  <cp:lastPrinted>2020-06-01T08:42:50Z</cp:lastPrinted>
  <dcterms:created xsi:type="dcterms:W3CDTF">1999-06-08T04:26:21Z</dcterms:created>
  <dcterms:modified xsi:type="dcterms:W3CDTF">2020-09-22T12:12:37Z</dcterms:modified>
  <cp:contentStatus/>
</cp:coreProperties>
</file>